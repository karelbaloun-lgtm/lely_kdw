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Grundmaterial" sheetId="1" state="visible" r:id="rId1"/>
    <sheet xmlns:r="http://schemas.openxmlformats.org/officeDocument/2006/relationships" name="Würth Schrauben &amp; Kleinteile" sheetId="2" state="visible" r:id="rId2"/>
    <sheet xmlns:r="http://schemas.openxmlformats.org/officeDocument/2006/relationships" name="Legende Techniker" sheetId="3" state="visible" r:id="rId3"/>
  </sheets>
  <externalReferences>
    <externalReference xmlns:r="http://schemas.openxmlformats.org/officeDocument/2006/relationships" r:id="rId4"/>
  </externalReferences>
  <definedNames>
    <definedName name="SeznamMonteru">'Legende Techniker'!$A$2:$A$50</definedName>
    <definedName name="Brandl_Daniel__LAJ" localSheetId="2">'[1]Installationsmaterial Techniker'!#REF!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&quot; lfm.&quot;"/>
    <numFmt numFmtId="165" formatCode="0&quot; Stk.&quot;"/>
    <numFmt numFmtId="166" formatCode="0&quot; stk.&quot;"/>
    <numFmt numFmtId="167" formatCode="0&quot; Pack&quot;"/>
    <numFmt numFmtId="168" formatCode="0&quot; Stk/ lfm.&quot;"/>
    <numFmt numFmtId="169" formatCode="0&quot; Stk / lfm.&quot;"/>
    <numFmt numFmtId="170" formatCode="0&quot; Satz (Stk.)&quot;"/>
    <numFmt numFmtId="171" formatCode="0&quot; Stück&quot;"/>
    <numFmt numFmtId="172" formatCode="dd\.mm\.yyyy"/>
  </numFmts>
  <fonts count="20">
    <font>
      <name val="Calibri"/>
      <charset val="1"/>
      <color rgb="FF000000"/>
      <sz val="11"/>
    </font>
    <font>
      <name val="Calibri"/>
      <charset val="1"/>
      <family val="2"/>
      <b val="1"/>
      <sz val="22"/>
    </font>
    <font>
      <name val="Calibri"/>
      <charset val="1"/>
      <family val="2"/>
      <sz val="11"/>
    </font>
    <font>
      <name val="Calibri"/>
      <charset val="1"/>
      <family val="2"/>
      <b val="1"/>
      <sz val="12"/>
      <u val="single"/>
    </font>
    <font>
      <name val="Calibri"/>
      <charset val="1"/>
      <family val="2"/>
      <sz val="11"/>
      <u val="single"/>
    </font>
    <font>
      <name val="Calibri"/>
      <charset val="1"/>
      <family val="2"/>
      <b val="1"/>
      <sz val="11"/>
      <u val="single"/>
    </font>
    <font>
      <name val="Calibri"/>
      <charset val="1"/>
      <family val="2"/>
      <b val="1"/>
      <color rgb="FF000000"/>
      <sz val="14"/>
      <u val="single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sz val="10"/>
      <u val="single"/>
    </font>
    <font>
      <name val="Calibri"/>
      <charset val="1"/>
      <family val="2"/>
      <b val="1"/>
      <sz val="8"/>
      <u val="single"/>
    </font>
    <font>
      <name val="Calibri"/>
      <charset val="1"/>
      <family val="2"/>
      <b val="1"/>
      <sz val="9"/>
      <u val="single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420042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121F3A"/>
      <sz val="11"/>
    </font>
    <font>
      <name val="Calibri"/>
      <charset val="1"/>
      <family val="2"/>
      <b val="1"/>
      <color rgb="FF000000"/>
      <sz val="11"/>
      <u val="single"/>
    </font>
    <font>
      <name val="Calibri"/>
      <charset val="1"/>
      <family val="2"/>
      <color theme="1"/>
      <sz val="10"/>
    </font>
    <font>
      <name val="Calibri"/>
      <charset val="1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6EFCE"/>
      </patternFill>
    </fill>
    <fill>
      <patternFill patternType="solid">
        <fgColor theme="0"/>
        <bgColor rgb="FFF2F2F2"/>
      </patternFill>
    </fill>
    <fill>
      <patternFill patternType="solid">
        <fgColor theme="0" tint="-0.249977111117893"/>
        <bgColor rgb="FFC3D69B"/>
      </patternFill>
    </fill>
    <fill>
      <patternFill patternType="solid">
        <fgColor theme="3" tint="0.5997802667317729"/>
        <bgColor rgb="FF9999FF"/>
      </patternFill>
    </fill>
    <fill>
      <patternFill patternType="solid">
        <fgColor theme="6" tint="0.7997985778374584"/>
        <bgColor rgb="FFF2F2F2"/>
      </patternFill>
    </fill>
    <fill>
      <patternFill patternType="solid">
        <fgColor rgb="FFD9D9D9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theme="6" tint="0.3996704000976593"/>
      </bottom>
      <diagonal/>
    </border>
    <border>
      <left/>
      <right/>
      <top style="thin">
        <color theme="6" tint="0.3996704000976593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8">
    <xf numFmtId="0" fontId="0" fillId="0" borderId="0" pivotButton="0" quotePrefix="0" xfId="0"/>
    <xf numFmtId="0" fontId="3" fillId="0" borderId="3" pivotButton="0" quotePrefix="0" xfId="0"/>
    <xf numFmtId="0" fontId="3" fillId="3" borderId="1" applyAlignment="1" pivotButton="0" quotePrefix="0" xfId="0">
      <alignment horizontal="left"/>
    </xf>
    <xf numFmtId="17" fontId="3" fillId="0" borderId="3" applyAlignment="1" pivotButton="0" quotePrefix="0" xfId="0">
      <alignment horizontal="left"/>
    </xf>
    <xf numFmtId="0" fontId="2" fillId="4" borderId="3" applyAlignment="1" pivotButton="0" quotePrefix="0" xfId="0">
      <alignment horizontal="center"/>
    </xf>
    <xf numFmtId="0" fontId="3" fillId="3" borderId="3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2" fillId="0" borderId="0" pivotButton="0" quotePrefix="0" xfId="0"/>
    <xf numFmtId="0" fontId="3" fillId="0" borderId="5" applyAlignment="1" pivotButton="0" quotePrefix="0" xfId="0">
      <alignment horizontal="left"/>
    </xf>
    <xf numFmtId="0" fontId="3" fillId="0" borderId="6" pivotButton="0" quotePrefix="0" xfId="0"/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0" fillId="4" borderId="3" pivotButton="0" quotePrefix="0" xfId="0"/>
    <xf numFmtId="0" fontId="3" fillId="4" borderId="9" applyAlignment="1" pivotButton="0" quotePrefix="0" xfId="0">
      <alignment horizontal="center"/>
    </xf>
    <xf numFmtId="0" fontId="2" fillId="0" borderId="8" applyAlignment="1" pivotButton="0" quotePrefix="0" xfId="0">
      <alignment horizontal="left"/>
    </xf>
    <xf numFmtId="0" fontId="8" fillId="0" borderId="3" pivotButton="0" quotePrefix="0" xfId="0"/>
    <xf numFmtId="164" fontId="2" fillId="3" borderId="3" applyAlignment="1" pivotButton="0" quotePrefix="0" xfId="0">
      <alignment horizontal="center" vertical="center"/>
    </xf>
    <xf numFmtId="0" fontId="5" fillId="0" borderId="9" applyAlignment="1" pivotButton="0" quotePrefix="0" xfId="0">
      <alignment horizontal="left" vertical="center" wrapText="1"/>
    </xf>
    <xf numFmtId="165" fontId="2" fillId="3" borderId="3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 wrapText="1"/>
    </xf>
    <xf numFmtId="0" fontId="0" fillId="0" borderId="3" pivotButton="0" quotePrefix="0" xfId="0"/>
    <xf numFmtId="166" fontId="2" fillId="3" borderId="3" applyAlignment="1" pivotButton="0" quotePrefix="0" xfId="0">
      <alignment horizontal="center" vertical="center"/>
    </xf>
    <xf numFmtId="167" fontId="2" fillId="3" borderId="3" applyAlignment="1" pivotButton="0" quotePrefix="0" xfId="0">
      <alignment horizontal="center" vertical="center"/>
    </xf>
    <xf numFmtId="0" fontId="0" fillId="4" borderId="8" pivotButton="0" quotePrefix="0" xfId="0"/>
    <xf numFmtId="49" fontId="2" fillId="0" borderId="8" applyAlignment="1" pivotButton="0" quotePrefix="0" xfId="0">
      <alignment horizontal="left"/>
    </xf>
    <xf numFmtId="0" fontId="2" fillId="0" borderId="3" pivotButton="0" quotePrefix="0" xfId="0"/>
    <xf numFmtId="168" fontId="2" fillId="3" borderId="3" applyAlignment="1" pivotButton="0" quotePrefix="0" xfId="0">
      <alignment horizontal="center" vertical="center"/>
    </xf>
    <xf numFmtId="0" fontId="10" fillId="0" borderId="9" applyAlignment="1" pivotButton="0" quotePrefix="0" xfId="0">
      <alignment horizontal="left" vertical="center" wrapText="1"/>
    </xf>
    <xf numFmtId="169" fontId="2" fillId="3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/>
    </xf>
    <xf numFmtId="49" fontId="2" fillId="0" borderId="10" applyAlignment="1" pivotButton="0" quotePrefix="0" xfId="0">
      <alignment horizontal="left"/>
    </xf>
    <xf numFmtId="0" fontId="8" fillId="0" borderId="12" pivotButton="0" quotePrefix="0" xfId="0"/>
    <xf numFmtId="0" fontId="5" fillId="0" borderId="13" applyAlignment="1" pivotButton="0" quotePrefix="0" xfId="0">
      <alignment horizontal="left" vertical="center" wrapText="1"/>
    </xf>
    <xf numFmtId="164" fontId="2" fillId="3" borderId="12" applyAlignment="1" pivotButton="0" quotePrefix="0" xfId="0">
      <alignment horizontal="center" vertical="center"/>
    </xf>
    <xf numFmtId="0" fontId="0" fillId="4" borderId="14" pivotButton="0" quotePrefix="0" xfId="0"/>
    <xf numFmtId="0" fontId="0" fillId="4" borderId="15" pivotButton="0" quotePrefix="0" xfId="0"/>
    <xf numFmtId="0" fontId="3" fillId="4" borderId="16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8" fillId="5" borderId="8" pivotButton="0" quotePrefix="0" xfId="0"/>
    <xf numFmtId="0" fontId="8" fillId="5" borderId="3" pivotButton="0" quotePrefix="0" xfId="0"/>
    <xf numFmtId="0" fontId="10" fillId="5" borderId="9" applyAlignment="1" pivotButton="0" quotePrefix="0" xfId="0">
      <alignment horizontal="left" vertical="center" wrapText="1"/>
    </xf>
    <xf numFmtId="0" fontId="11" fillId="5" borderId="9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166" fontId="2" fillId="3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8" fillId="0" borderId="8" pivotButton="0" quotePrefix="0" xfId="0"/>
    <xf numFmtId="0" fontId="0" fillId="0" borderId="14" pivotButton="0" quotePrefix="0" xfId="0"/>
    <xf numFmtId="0" fontId="0" fillId="0" borderId="15" pivotButton="0" quotePrefix="0" xfId="0"/>
    <xf numFmtId="166" fontId="2" fillId="3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/>
    </xf>
    <xf numFmtId="0" fontId="0" fillId="0" borderId="1" pivotButton="0" quotePrefix="0" xfId="0"/>
    <xf numFmtId="170" fontId="2" fillId="3" borderId="3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/>
    </xf>
    <xf numFmtId="0" fontId="0" fillId="5" borderId="8" applyAlignment="1" pivotButton="0" quotePrefix="0" xfId="0">
      <alignment horizontal="left"/>
    </xf>
    <xf numFmtId="0" fontId="8" fillId="4" borderId="8" pivotButton="0" quotePrefix="0" xfId="0"/>
    <xf numFmtId="0" fontId="8" fillId="4" borderId="3" pivotButton="0" quotePrefix="0" xfId="0"/>
    <xf numFmtId="0" fontId="10" fillId="4" borderId="9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0" fontId="12" fillId="4" borderId="3" pivotButton="0" quotePrefix="0" xfId="0"/>
    <xf numFmtId="0" fontId="12" fillId="4" borderId="9" pivotButton="0" quotePrefix="0" xfId="0"/>
    <xf numFmtId="0" fontId="8" fillId="0" borderId="20" pivotButton="0" quotePrefix="0" xfId="0"/>
    <xf numFmtId="0" fontId="13" fillId="6" borderId="21" pivotButton="0" quotePrefix="0" xfId="0"/>
    <xf numFmtId="0" fontId="0" fillId="6" borderId="23" pivotButton="0" quotePrefix="0" xfId="0"/>
    <xf numFmtId="167" fontId="0" fillId="6" borderId="6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 wrapText="1"/>
    </xf>
    <xf numFmtId="0" fontId="2" fillId="0" borderId="8" pivotButton="0" quotePrefix="0" xfId="0"/>
    <xf numFmtId="0" fontId="0" fillId="0" borderId="25" pivotButton="0" quotePrefix="0" xfId="0"/>
    <xf numFmtId="0" fontId="2" fillId="0" borderId="26" pivotButton="0" quotePrefix="0" xfId="0"/>
    <xf numFmtId="0" fontId="0" fillId="0" borderId="28" pivotButton="0" quotePrefix="0" xfId="0"/>
    <xf numFmtId="0" fontId="10" fillId="0" borderId="29" applyAlignment="1" pivotButton="0" quotePrefix="0" xfId="0">
      <alignment horizontal="center"/>
    </xf>
    <xf numFmtId="0" fontId="8" fillId="6" borderId="5" pivotButton="0" quotePrefix="0" xfId="0"/>
    <xf numFmtId="0" fontId="10" fillId="6" borderId="7" applyAlignment="1" pivotButton="0" quotePrefix="0" xfId="0">
      <alignment horizontal="center"/>
    </xf>
    <xf numFmtId="0" fontId="8" fillId="0" borderId="26" pivotButton="0" quotePrefix="0" xfId="0"/>
    <xf numFmtId="167" fontId="2" fillId="3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/>
    </xf>
    <xf numFmtId="167" fontId="2" fillId="3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/>
    </xf>
    <xf numFmtId="0" fontId="0" fillId="0" borderId="31" pivotButton="0" quotePrefix="0" xfId="0"/>
    <xf numFmtId="0" fontId="0" fillId="0" borderId="33" pivotButton="0" quotePrefix="0" xfId="0"/>
    <xf numFmtId="0" fontId="10" fillId="0" borderId="34" applyAlignment="1" pivotButton="0" quotePrefix="0" xfId="0">
      <alignment horizontal="center"/>
    </xf>
    <xf numFmtId="0" fontId="14" fillId="0" borderId="8" pivotButton="0" quotePrefix="0" xfId="0"/>
    <xf numFmtId="0" fontId="14" fillId="0" borderId="26" pivotButton="0" quotePrefix="0" xfId="0"/>
    <xf numFmtId="0" fontId="15" fillId="6" borderId="35" pivotButton="0" quotePrefix="0" xfId="0"/>
    <xf numFmtId="0" fontId="0" fillId="6" borderId="22" pivotButton="0" quotePrefix="0" xfId="0"/>
    <xf numFmtId="167" fontId="0" fillId="6" borderId="3" applyAlignment="1" pivotButton="0" quotePrefix="0" xfId="0">
      <alignment horizontal="center" vertical="center"/>
    </xf>
    <xf numFmtId="0" fontId="10" fillId="6" borderId="36" applyAlignment="1" pivotButton="0" quotePrefix="0" xfId="0">
      <alignment horizontal="center"/>
    </xf>
    <xf numFmtId="0" fontId="8" fillId="0" borderId="37" pivotButton="0" quotePrefix="0" xfId="0"/>
    <xf numFmtId="0" fontId="0" fillId="0" borderId="4" pivotButton="0" quotePrefix="0" xfId="0"/>
    <xf numFmtId="0" fontId="8" fillId="0" borderId="38" pivotButton="0" quotePrefix="0" xfId="0"/>
    <xf numFmtId="0" fontId="16" fillId="0" borderId="8" pivotButton="0" quotePrefix="0" xfId="0"/>
    <xf numFmtId="167" fontId="2" fillId="3" borderId="1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/>
    </xf>
    <xf numFmtId="0" fontId="16" fillId="0" borderId="26" pivotButton="0" quotePrefix="0" xfId="0"/>
    <xf numFmtId="0" fontId="11" fillId="6" borderId="7" applyAlignment="1" pivotButton="0" quotePrefix="0" xfId="0">
      <alignment horizontal="left" vertical="center" wrapText="1"/>
    </xf>
    <xf numFmtId="167" fontId="2" fillId="3" borderId="28" applyAlignment="1" pivotButton="0" quotePrefix="0" xfId="0">
      <alignment horizontal="center" vertical="center"/>
    </xf>
    <xf numFmtId="0" fontId="8" fillId="6" borderId="14" pivotButton="0" quotePrefix="0" xfId="0"/>
    <xf numFmtId="0" fontId="0" fillId="6" borderId="4" pivotButton="0" quotePrefix="0" xfId="0"/>
    <xf numFmtId="167" fontId="2" fillId="6" borderId="15" applyAlignment="1" pivotButton="0" quotePrefix="0" xfId="0">
      <alignment horizontal="center" vertical="center"/>
    </xf>
    <xf numFmtId="0" fontId="10" fillId="6" borderId="16" applyAlignment="1" pivotButton="0" quotePrefix="0" xfId="0">
      <alignment horizontal="center"/>
    </xf>
    <xf numFmtId="0" fontId="15" fillId="6" borderId="8" pivotButton="0" quotePrefix="0" xfId="0"/>
    <xf numFmtId="0" fontId="0" fillId="6" borderId="3" pivotButton="0" quotePrefix="0" xfId="0"/>
    <xf numFmtId="0" fontId="9" fillId="6" borderId="9" applyAlignment="1" pivotButton="0" quotePrefix="0" xfId="0">
      <alignment horizontal="center"/>
    </xf>
    <xf numFmtId="0" fontId="8" fillId="0" borderId="14" pivotButton="0" quotePrefix="0" xfId="0"/>
    <xf numFmtId="0" fontId="10" fillId="0" borderId="40" applyAlignment="1" pivotButton="0" quotePrefix="0" xfId="0">
      <alignment horizontal="center"/>
    </xf>
    <xf numFmtId="0" fontId="8" fillId="6" borderId="41" pivotButton="0" quotePrefix="0" xfId="0"/>
    <xf numFmtId="0" fontId="0" fillId="6" borderId="42" pivotButton="0" quotePrefix="0" xfId="0"/>
    <xf numFmtId="0" fontId="11" fillId="0" borderId="29" applyAlignment="1" pivotButton="0" quotePrefix="0" xfId="0">
      <alignment horizontal="left" vertical="center" wrapText="1"/>
    </xf>
    <xf numFmtId="0" fontId="11" fillId="6" borderId="7" applyAlignment="1" pivotButton="0" quotePrefix="0" xfId="0">
      <alignment horizontal="center"/>
    </xf>
    <xf numFmtId="0" fontId="13" fillId="6" borderId="41" pivotButton="0" quotePrefix="0" xfId="0"/>
    <xf numFmtId="0" fontId="8" fillId="0" borderId="43" pivotButton="0" quotePrefix="0" xfId="0"/>
    <xf numFmtId="0" fontId="8" fillId="0" borderId="10" pivotButton="0" quotePrefix="0" xfId="0"/>
    <xf numFmtId="0" fontId="0" fillId="6" borderId="8" pivotButton="0" quotePrefix="0" xfId="0"/>
    <xf numFmtId="0" fontId="8" fillId="6" borderId="3" pivotButton="0" quotePrefix="0" xfId="0"/>
    <xf numFmtId="165" fontId="2" fillId="6" borderId="12" applyAlignment="1" pivotButton="0" quotePrefix="0" xfId="0">
      <alignment horizontal="center" vertical="center"/>
    </xf>
    <xf numFmtId="0" fontId="10" fillId="6" borderId="9" applyAlignment="1" pivotButton="0" quotePrefix="0" xfId="0">
      <alignment horizontal="center"/>
    </xf>
    <xf numFmtId="165" fontId="2" fillId="3" borderId="12" applyAlignment="1" pivotButton="0" quotePrefix="0" xfId="0">
      <alignment horizontal="center" vertical="center"/>
    </xf>
    <xf numFmtId="0" fontId="13" fillId="6" borderId="20" pivotButton="0" quotePrefix="0" xfId="0"/>
    <xf numFmtId="0" fontId="8" fillId="6" borderId="8" pivotButton="0" quotePrefix="0" xfId="0"/>
    <xf numFmtId="0" fontId="17" fillId="0" borderId="8" pivotButton="0" quotePrefix="0" xfId="0"/>
    <xf numFmtId="171" fontId="2" fillId="3" borderId="3" applyAlignment="1" pivotButton="0" quotePrefix="0" xfId="0">
      <alignment horizontal="center" vertical="center"/>
    </xf>
    <xf numFmtId="0" fontId="3" fillId="0" borderId="9" applyAlignment="1" pivotButton="0" quotePrefix="0" xfId="0">
      <alignment horizontal="left" vertical="center" wrapText="1"/>
    </xf>
    <xf numFmtId="171" fontId="2" fillId="3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left" vertical="center" wrapText="1"/>
    </xf>
    <xf numFmtId="0" fontId="0" fillId="7" borderId="0" pivotButton="0" quotePrefix="0" xfId="0"/>
    <xf numFmtId="0" fontId="18" fillId="8" borderId="44" applyAlignment="1" pivotButton="0" quotePrefix="0" xfId="0">
      <alignment horizontal="left"/>
    </xf>
    <xf numFmtId="0" fontId="19" fillId="8" borderId="44" pivotButton="0" quotePrefix="0" xfId="0"/>
    <xf numFmtId="0" fontId="18" fillId="5" borderId="45" applyAlignment="1" pivotButton="0" quotePrefix="0" xfId="0">
      <alignment horizontal="left"/>
    </xf>
    <xf numFmtId="0" fontId="19" fillId="5" borderId="45" pivotButton="0" quotePrefix="0" xfId="0"/>
    <xf numFmtId="0" fontId="18" fillId="8" borderId="45" applyAlignment="1" pivotButton="0" quotePrefix="0" xfId="0">
      <alignment horizontal="left"/>
    </xf>
    <xf numFmtId="0" fontId="19" fillId="8" borderId="45" pivotButton="0" quotePrefix="0" xfId="0"/>
    <xf numFmtId="0" fontId="8" fillId="0" borderId="28" pivotButton="0" quotePrefix="0" xfId="0"/>
    <xf numFmtId="166" fontId="2" fillId="3" borderId="28" applyAlignment="1" pivotButton="0" quotePrefix="0" xfId="0">
      <alignment horizontal="center" vertical="center"/>
    </xf>
    <xf numFmtId="0" fontId="11" fillId="0" borderId="16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 wrapText="1"/>
    </xf>
    <xf numFmtId="0" fontId="6" fillId="6" borderId="22" applyAlignment="1" pivotButton="0" quotePrefix="0" xfId="0">
      <alignment horizontal="left" vertical="center" wrapText="1"/>
    </xf>
    <xf numFmtId="0" fontId="6" fillId="6" borderId="30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7" fillId="0" borderId="3" pivotButton="0" quotePrefix="0" xfId="0"/>
    <xf numFmtId="0" fontId="2" fillId="3" borderId="3" applyAlignment="1" pivotButton="0" quotePrefix="0" xfId="0">
      <alignment horizontal="center" vertical="center" wrapText="1"/>
    </xf>
    <xf numFmtId="172" fontId="4" fillId="3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8" fillId="0" borderId="11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6" fillId="4" borderId="15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4" borderId="12" applyAlignment="1" pivotButton="0" quotePrefix="0" xfId="0">
      <alignment horizontal="center" vertical="center"/>
    </xf>
    <xf numFmtId="0" fontId="12" fillId="4" borderId="15" applyAlignment="1" pivotButton="0" quotePrefix="0" xfId="0">
      <alignment horizontal="center" vertical="center"/>
    </xf>
    <xf numFmtId="0" fontId="8" fillId="0" borderId="28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0" borderId="2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9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6" fillId="6" borderId="15" applyAlignment="1" pivotButton="0" quotePrefix="0" xfId="0">
      <alignment horizontal="left" vertical="center"/>
    </xf>
    <xf numFmtId="0" fontId="0" fillId="0" borderId="28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5" fillId="9" borderId="8" applyAlignment="1" pivotButton="0" quotePrefix="0" xfId="0">
      <alignment horizontal="left"/>
    </xf>
    <xf numFmtId="0" fontId="6" fillId="9" borderId="3" applyAlignment="1" pivotButton="0" quotePrefix="0" xfId="0">
      <alignment horizontal="center" vertical="center"/>
    </xf>
    <xf numFmtId="0" fontId="0" fillId="9" borderId="3" pivotButton="0" quotePrefix="0" xfId="0"/>
    <xf numFmtId="0" fontId="7" fillId="9" borderId="3" pivotButton="0" quotePrefix="0" xfId="0"/>
    <xf numFmtId="0" fontId="3" fillId="9" borderId="9" applyAlignment="1" pivotButton="0" quotePrefix="0" xfId="0">
      <alignment horizontal="center"/>
    </xf>
    <xf numFmtId="17" fontId="2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46" pivotButton="0" quotePrefix="0" xfId="0"/>
  </cellXfs>
  <cellStyles count="1">
    <cellStyle name="Normální" xfId="0" builtinId="0"/>
  </cellStyles>
  <dxfs count="3">
    <dxf>
      <font>
        <strike val="1"/>
        <color rgb="FFA6A6A6"/>
      </font>
      <fill>
        <patternFill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2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BF1DE"/>
      <rgbColor rgb="FFF2F2F2"/>
      <rgbColor rgb="FF420042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EB4E3"/>
      <rgbColor rgb="FFFF99CC"/>
      <rgbColor rgb="FFCC99FF"/>
      <rgbColor rgb="FFC3D69B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21F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Installationsmaterial%20Techniker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allationsmaterial Techniker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elle1" displayName="Tabelle1" ref="A1:C5" headerRowCount="1" totalsRowShown="0">
  <autoFilter ref="A1:C5"/>
  <tableColumns count="3">
    <tableColumn id="1" name="Techniker"/>
    <tableColumn id="2" name="Lagerort"/>
    <tableColumn id="3" name="Kostenstel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tabSelected="1" workbookViewId="0">
      <selection activeCell="B2" sqref="B2"/>
    </sheetView>
  </sheetViews>
  <sheetFormatPr baseColWidth="8" defaultRowHeight="14.25"/>
  <cols>
    <col width="15.1328125" bestFit="1" customWidth="1" style="195" min="1" max="1"/>
    <col width="41.6640625" bestFit="1" customWidth="1" style="195" min="2" max="2"/>
    <col width="11.6640625" bestFit="1" customWidth="1" style="195" min="3" max="3"/>
    <col width="17.6640625" bestFit="1" customWidth="1" style="195" min="4" max="4"/>
    <col width="29.73046875" bestFit="1" customWidth="1" style="195" min="5" max="5"/>
  </cols>
  <sheetData>
    <row r="1" ht="28.5" customHeight="1" s="195">
      <c r="A1" s="196" t="inlineStr">
        <is>
          <t>KDW Bestellformular Einbau</t>
        </is>
      </c>
      <c r="B1" s="197" t="n"/>
      <c r="C1" s="194" t="inlineStr">
        <is>
          <t>Version Juli 2026</t>
        </is>
      </c>
    </row>
    <row r="2" ht="15.75" customHeight="1" s="195">
      <c r="A2" s="2" t="inlineStr">
        <is>
          <t>Einbauer</t>
        </is>
      </c>
      <c r="B2" s="148" t="n"/>
      <c r="C2" s="3" t="inlineStr">
        <is>
          <t>Lagerort</t>
        </is>
      </c>
      <c r="D2" s="4">
        <f>IFERROR(INDEX('Legende Techniker'!$B$2:$B$50,MATCH($B$2,'Legende Techniker'!$A$2:$A$50,0)),"")</f>
        <v/>
      </c>
    </row>
    <row r="3" ht="15.75" customHeight="1" s="195">
      <c r="A3" s="5" t="inlineStr">
        <is>
          <t>Datum</t>
        </is>
      </c>
      <c r="B3" s="149">
        <f>TODAY()</f>
        <v/>
      </c>
      <c r="C3" s="6" t="inlineStr">
        <is>
          <t>Kostenstelle</t>
        </is>
      </c>
      <c r="D3" s="4">
        <f>IFERROR(INDEX('Legende Techniker'!$C$2:$C$50,MATCH($B$2,'Legende Techniker'!$A$2:$A$50,0)),"")</f>
        <v/>
      </c>
    </row>
    <row r="4">
      <c r="A4" s="7" t="n"/>
      <c r="B4" s="8" t="n"/>
      <c r="C4" s="9" t="n"/>
      <c r="D4" s="10" t="n"/>
    </row>
    <row r="5" ht="15.75" customHeight="1" s="195">
      <c r="A5" s="11" t="inlineStr">
        <is>
          <t>Artikelnummer</t>
        </is>
      </c>
      <c r="B5" s="150" t="inlineStr">
        <is>
          <t>Artikelbezeichnung</t>
        </is>
      </c>
      <c r="C5" s="12" t="inlineStr">
        <is>
          <t>Einheit</t>
        </is>
      </c>
      <c r="D5" s="13" t="inlineStr">
        <is>
          <t>Bestellmenge</t>
        </is>
      </c>
      <c r="E5" s="14" t="inlineStr">
        <is>
          <t>zusätzliche Infos:</t>
        </is>
      </c>
    </row>
    <row r="6" ht="15.75" customHeight="1" s="195">
      <c r="A6" s="15" t="n"/>
      <c r="B6" s="1" t="n"/>
      <c r="C6" s="1" t="n"/>
      <c r="D6" s="16" t="n"/>
      <c r="E6" s="17" t="n"/>
    </row>
    <row r="7" ht="18" customHeight="1" s="195">
      <c r="A7" s="189" t="n"/>
      <c r="B7" s="190" t="inlineStr">
        <is>
          <t>Schläuche + dazugehörige Verbinder</t>
        </is>
      </c>
      <c r="C7" s="191" t="n"/>
      <c r="D7" s="192" t="inlineStr">
        <is>
          <t xml:space="preserve">von Einbauer befüllen </t>
        </is>
      </c>
      <c r="E7" s="193" t="n"/>
    </row>
    <row r="8">
      <c r="A8" s="20" t="inlineStr">
        <is>
          <t>RM PA4x2BLAU</t>
        </is>
      </c>
      <c r="B8" s="155" t="inlineStr">
        <is>
          <t>Luftschlauch 4 mm</t>
        </is>
      </c>
      <c r="C8" s="21" t="inlineStr">
        <is>
          <t>lfm.</t>
        </is>
      </c>
      <c r="D8" s="22" t="n"/>
      <c r="E8" s="23" t="inlineStr">
        <is>
          <t>1 Bund = 100m</t>
        </is>
      </c>
    </row>
    <row r="9">
      <c r="A9" s="20" t="inlineStr">
        <is>
          <t>RM PA6x4BLAU</t>
        </is>
      </c>
      <c r="B9" s="156" t="inlineStr">
        <is>
          <t>Luftschlauch 6 mm</t>
        </is>
      </c>
      <c r="C9" s="21" t="inlineStr">
        <is>
          <t>lfm.</t>
        </is>
      </c>
      <c r="D9" s="22" t="n"/>
      <c r="E9" s="23" t="inlineStr">
        <is>
          <t>1 Bund = 100m</t>
        </is>
      </c>
    </row>
    <row r="10">
      <c r="A10" s="20" t="inlineStr">
        <is>
          <t>9.1138.0065.6</t>
        </is>
      </c>
      <c r="B10" s="155" t="inlineStr">
        <is>
          <t xml:space="preserve">Druckluftschlauch 8mm blau </t>
        </is>
      </c>
      <c r="C10" s="21" t="inlineStr">
        <is>
          <t>lfm.</t>
        </is>
      </c>
      <c r="D10" s="22" t="n"/>
      <c r="E10" s="23" t="inlineStr">
        <is>
          <t>1 Bund = 100m</t>
        </is>
      </c>
    </row>
    <row r="11">
      <c r="A11" s="20" t="inlineStr">
        <is>
          <t>RO PA22x18</t>
        </is>
      </c>
      <c r="B11" s="155" t="inlineStr">
        <is>
          <t>Luftschlauch 22 mm</t>
        </is>
      </c>
      <c r="C11" s="21" t="inlineStr">
        <is>
          <t>lfm.</t>
        </is>
      </c>
      <c r="D11" s="22" t="n"/>
      <c r="E11" s="23" t="inlineStr">
        <is>
          <t>1 Bund = 50m</t>
        </is>
      </c>
    </row>
    <row r="12">
      <c r="A12" s="20" t="inlineStr">
        <is>
          <t>9.1138.0152.2</t>
        </is>
      </c>
      <c r="B12" s="155" t="inlineStr">
        <is>
          <t>Luftschlauch 14 mm</t>
        </is>
      </c>
      <c r="C12" s="21" t="inlineStr">
        <is>
          <t>lfm.</t>
        </is>
      </c>
      <c r="D12" s="22" t="n"/>
      <c r="E12" s="23" t="inlineStr">
        <is>
          <t>1 Bund = 100m</t>
        </is>
      </c>
    </row>
    <row r="13">
      <c r="A13" s="20" t="inlineStr">
        <is>
          <t>9.1138.0153.3</t>
        </is>
      </c>
      <c r="B13" s="155" t="inlineStr">
        <is>
          <t>Luftschlauch 10 mm</t>
        </is>
      </c>
      <c r="C13" s="21" t="inlineStr">
        <is>
          <t>lfm.</t>
        </is>
      </c>
      <c r="D13" s="22" t="n"/>
      <c r="E13" s="23" t="inlineStr">
        <is>
          <t xml:space="preserve">1 Bund = 50m </t>
        </is>
      </c>
    </row>
    <row r="14">
      <c r="A14" s="20" t="inlineStr">
        <is>
          <t>9.1065.0126.0</t>
        </is>
      </c>
      <c r="B14" s="157" t="inlineStr">
        <is>
          <t>Schlauch grün 19 mm</t>
        </is>
      </c>
      <c r="C14" s="21" t="inlineStr">
        <is>
          <t>lfm.</t>
        </is>
      </c>
      <c r="D14" s="22" t="n"/>
      <c r="E14" s="23" t="inlineStr">
        <is>
          <t>1 Bund = 120m</t>
        </is>
      </c>
    </row>
    <row r="15">
      <c r="A15" s="20" t="inlineStr">
        <is>
          <t>9.1065.0100.0</t>
        </is>
      </c>
      <c r="B15" s="157" t="inlineStr">
        <is>
          <t>Schlauch rot 19mm</t>
        </is>
      </c>
      <c r="C15" s="21" t="inlineStr">
        <is>
          <t>lfm.</t>
        </is>
      </c>
      <c r="D15" s="22" t="n"/>
      <c r="E15" s="23" t="inlineStr">
        <is>
          <t>1 Bund = 120m</t>
        </is>
      </c>
    </row>
    <row r="16">
      <c r="A16" s="20" t="inlineStr">
        <is>
          <t>9.1065.0127.0</t>
        </is>
      </c>
      <c r="B16" s="157" t="inlineStr">
        <is>
          <t>Schlauch blau 19 mm</t>
        </is>
      </c>
      <c r="C16" s="21" t="inlineStr">
        <is>
          <t>lfm.</t>
        </is>
      </c>
      <c r="D16" s="22" t="n"/>
      <c r="E16" s="23" t="inlineStr">
        <is>
          <t>1 Bund = 120m</t>
        </is>
      </c>
    </row>
    <row r="17" ht="15.75" customHeight="1" s="195">
      <c r="A17" s="20" t="inlineStr">
        <is>
          <t>9.1065.0093.6</t>
        </is>
      </c>
      <c r="B17" s="157" t="inlineStr">
        <is>
          <t>Wasserleitung rot 16 mm</t>
        </is>
      </c>
      <c r="C17" s="21" t="inlineStr">
        <is>
          <t>lfm.</t>
        </is>
      </c>
      <c r="D17" s="22" t="n"/>
      <c r="E17" s="17" t="n"/>
    </row>
    <row r="18" ht="15.75" customHeight="1" s="195">
      <c r="A18" s="20" t="inlineStr">
        <is>
          <t>9.1065.0098.0</t>
        </is>
      </c>
      <c r="B18" s="157" t="inlineStr">
        <is>
          <t>Wasserleitung blau 16 mm</t>
        </is>
      </c>
      <c r="C18" s="21" t="inlineStr">
        <is>
          <t>lfm.</t>
        </is>
      </c>
      <c r="D18" s="22" t="n"/>
      <c r="E18" s="17" t="n"/>
    </row>
    <row r="19" ht="15.75" customHeight="1" s="195">
      <c r="A19" s="20" t="inlineStr">
        <is>
          <t>9.1065.0097.0</t>
        </is>
      </c>
      <c r="B19" s="157" t="inlineStr">
        <is>
          <t>Wasserleitung grün 16 mm</t>
        </is>
      </c>
      <c r="C19" s="21" t="inlineStr">
        <is>
          <t>lfm.</t>
        </is>
      </c>
      <c r="D19" s="22" t="n"/>
      <c r="E19" s="17" t="n"/>
    </row>
    <row r="20" ht="15.75" customHeight="1" s="195">
      <c r="A20" s="20" t="inlineStr">
        <is>
          <t>T0558782</t>
        </is>
      </c>
      <c r="B20" s="157" t="inlineStr">
        <is>
          <t>Verbinder Wasserschl. 16mm</t>
        </is>
      </c>
      <c r="C20" s="21" t="inlineStr">
        <is>
          <t>Stk.</t>
        </is>
      </c>
      <c r="D20" s="24" t="n"/>
      <c r="E20" s="17" t="n"/>
    </row>
    <row r="21" ht="15.75" customHeight="1" s="195">
      <c r="A21" s="20" t="inlineStr">
        <is>
          <t>5.1004.6391.0</t>
        </is>
      </c>
      <c r="B21" s="157" t="inlineStr">
        <is>
          <t>16/19 Wasseranschlüsse</t>
        </is>
      </c>
      <c r="C21" s="21" t="inlineStr">
        <is>
          <t>Stk.</t>
        </is>
      </c>
      <c r="D21" s="24" t="n"/>
      <c r="E21" s="17" t="n"/>
    </row>
    <row r="22" ht="15.75" customHeight="1" s="195">
      <c r="A22" s="20" t="inlineStr">
        <is>
          <t>5.1004.7485.0</t>
        </is>
      </c>
      <c r="B22" s="157" t="inlineStr">
        <is>
          <t xml:space="preserve">Verbinder 19mm Wasserschlauch </t>
        </is>
      </c>
      <c r="C22" s="21" t="inlineStr">
        <is>
          <t>Stk.</t>
        </is>
      </c>
      <c r="D22" s="24" t="n"/>
      <c r="E22" s="17" t="n"/>
    </row>
    <row r="23">
      <c r="A23" s="20" t="inlineStr">
        <is>
          <t>9.1065.0061.3</t>
        </is>
      </c>
      <c r="B23" s="157" t="inlineStr">
        <is>
          <t>Dippmittelschlauch</t>
        </is>
      </c>
      <c r="C23" s="21" t="inlineStr">
        <is>
          <t>lfm.</t>
        </is>
      </c>
      <c r="D23" s="22" t="n"/>
      <c r="E23" s="25" t="inlineStr">
        <is>
          <t xml:space="preserve">1 Bund = 50m         </t>
        </is>
      </c>
    </row>
    <row r="24">
      <c r="A24" s="20" t="inlineStr">
        <is>
          <t>9.1185.0160.3</t>
        </is>
      </c>
      <c r="B24" s="157" t="inlineStr">
        <is>
          <t xml:space="preserve">Spiral-Vakuumschlauch 40x5 </t>
        </is>
      </c>
      <c r="C24" s="21" t="inlineStr">
        <is>
          <t>lfm.</t>
        </is>
      </c>
      <c r="D24" s="22" t="n"/>
      <c r="E24" s="25" t="inlineStr">
        <is>
          <t>1 Bund = 30 m</t>
        </is>
      </c>
    </row>
    <row r="25">
      <c r="A25" s="20" t="inlineStr">
        <is>
          <t>9.1185.0351.5</t>
        </is>
      </c>
      <c r="B25" s="155" t="inlineStr">
        <is>
          <t>Schlauch UNISIL 16x4,8 Silicon (ROT)</t>
        </is>
      </c>
      <c r="C25" s="21" t="inlineStr">
        <is>
          <t>lfm.</t>
        </is>
      </c>
      <c r="D25" s="22" t="n"/>
      <c r="E25" s="25" t="inlineStr">
        <is>
          <t>für M4USE (Bund=25 m)</t>
        </is>
      </c>
    </row>
    <row r="26">
      <c r="A26" s="20" t="inlineStr">
        <is>
          <t>9.1185.0099.5</t>
        </is>
      </c>
      <c r="B26" s="156" t="inlineStr">
        <is>
          <t>Milchleitung (PVC)</t>
        </is>
      </c>
      <c r="C26" s="21" t="inlineStr">
        <is>
          <t>lfm.</t>
        </is>
      </c>
      <c r="D26" s="22" t="n"/>
      <c r="E26" s="25" t="inlineStr">
        <is>
          <t>1 Bund = 100m</t>
        </is>
      </c>
    </row>
    <row r="27">
      <c r="A27" s="20" t="inlineStr">
        <is>
          <t>9.1065.0064.6</t>
        </is>
      </c>
      <c r="B27" s="156" t="inlineStr">
        <is>
          <t xml:space="preserve">Schlauch 22x3,5 Silicon (ROT) </t>
        </is>
      </c>
      <c r="C27" s="21" t="inlineStr">
        <is>
          <t>lfm.</t>
        </is>
      </c>
      <c r="D27" s="22" t="n"/>
      <c r="E27" s="25" t="inlineStr">
        <is>
          <t>für Milchfilter , 10m-Rolle</t>
        </is>
      </c>
    </row>
    <row r="28">
      <c r="A28" s="20" t="inlineStr">
        <is>
          <t>9.1185.0100.6</t>
        </is>
      </c>
      <c r="B28" s="156" t="inlineStr">
        <is>
          <t>Isolierung Milchleitung Normal (2m)</t>
        </is>
      </c>
      <c r="C28" s="26" t="inlineStr">
        <is>
          <t>stk.</t>
        </is>
      </c>
      <c r="D28" s="27" t="n"/>
      <c r="E28" s="25" t="inlineStr">
        <is>
          <t>65 Stk. in VPE</t>
        </is>
      </c>
    </row>
    <row r="29">
      <c r="A29" s="20" t="inlineStr">
        <is>
          <t>LD221420101935</t>
        </is>
      </c>
      <c r="B29" s="158" t="inlineStr">
        <is>
          <t>Isol. groß 35 mm (1m/Stück)</t>
        </is>
      </c>
      <c r="C29" s="21" t="inlineStr">
        <is>
          <t>lfm.</t>
        </is>
      </c>
      <c r="D29" s="22" t="n"/>
      <c r="E29" s="25" t="inlineStr">
        <is>
          <t>61 Stk. in VPE</t>
        </is>
      </c>
    </row>
    <row r="30">
      <c r="A30" s="20" t="inlineStr">
        <is>
          <t>FE053543</t>
        </is>
      </c>
      <c r="B30" s="158" t="inlineStr">
        <is>
          <t>Flexibler Schrumpfschlauch Box 6,4mm grün-gelb</t>
        </is>
      </c>
      <c r="C30" s="21" t="inlineStr">
        <is>
          <t>Pack</t>
        </is>
      </c>
      <c r="D30" s="28" t="n"/>
      <c r="E30" s="25" t="inlineStr">
        <is>
          <t>1 Pack enthält 10 lfm
(Kabelschutz / Isolation)</t>
        </is>
      </c>
    </row>
    <row r="31" ht="26.25" customHeight="1" s="195">
      <c r="A31" s="29" t="n"/>
      <c r="B31" s="159" t="inlineStr">
        <is>
          <t>Gitterrinnen + Zubehör</t>
        </is>
      </c>
      <c r="C31" s="18" t="n"/>
      <c r="D31" s="18" t="n"/>
      <c r="E31" s="19" t="n"/>
    </row>
    <row r="32" ht="18" customHeight="1" s="195">
      <c r="A32" s="30" t="inlineStr">
        <is>
          <t>FE224457</t>
        </is>
      </c>
      <c r="B32" s="157" t="inlineStr">
        <is>
          <t>Gitterrinne 60x100 (3m)</t>
        </is>
      </c>
      <c r="C32" s="31" t="inlineStr">
        <is>
          <t>Stk.</t>
        </is>
      </c>
      <c r="D32" s="32" t="n"/>
      <c r="E32" s="33" t="inlineStr">
        <is>
          <t>1 Stk. wird von Lager mit 3m gebucht</t>
        </is>
      </c>
    </row>
    <row r="33">
      <c r="A33" s="30" t="inlineStr">
        <is>
          <t>FE224632</t>
        </is>
      </c>
      <c r="B33" s="157" t="inlineStr">
        <is>
          <t>Gitterrinne 60x300 (3m)</t>
        </is>
      </c>
      <c r="C33" s="31" t="inlineStr">
        <is>
          <t>Stk.</t>
        </is>
      </c>
      <c r="D33" s="34" t="n"/>
      <c r="E33" s="33" t="inlineStr">
        <is>
          <t>1 Stk. wird von Lager mit 3m gebucht</t>
        </is>
      </c>
    </row>
    <row r="34">
      <c r="A34" s="30" t="inlineStr">
        <is>
          <t>FE224633</t>
        </is>
      </c>
      <c r="B34" s="157" t="inlineStr">
        <is>
          <t>Gitterrinne 60x400 (3m)</t>
        </is>
      </c>
      <c r="C34" s="31" t="inlineStr">
        <is>
          <t>Stk.</t>
        </is>
      </c>
      <c r="D34" s="34" t="n"/>
      <c r="E34" s="33" t="inlineStr">
        <is>
          <t>1 Stk. wird von Lager mit 3m gebucht</t>
        </is>
      </c>
    </row>
    <row r="35">
      <c r="A35" s="30" t="inlineStr">
        <is>
          <t>FE045973</t>
        </is>
      </c>
      <c r="B35" s="157" t="inlineStr">
        <is>
          <t>Ausleger für Gitterr.(100mm) pro mtr./1 Stk.</t>
        </is>
      </c>
      <c r="C35" s="31" t="inlineStr">
        <is>
          <t>stk.</t>
        </is>
      </c>
      <c r="D35" s="27" t="n"/>
      <c r="E35" s="35" t="inlineStr">
        <is>
          <t>20 Stk. in einer VPE</t>
        </is>
      </c>
    </row>
    <row r="36">
      <c r="A36" s="30" t="inlineStr">
        <is>
          <t>FE045975</t>
        </is>
      </c>
      <c r="B36" s="157" t="inlineStr">
        <is>
          <t>Ausleger für Gitterr. (300mm) pro mtr./1 Stk.</t>
        </is>
      </c>
      <c r="C36" s="31" t="inlineStr">
        <is>
          <t>stk.</t>
        </is>
      </c>
      <c r="D36" s="27" t="n"/>
      <c r="E36" s="35" t="inlineStr">
        <is>
          <t>16 Stk. in einer VPE</t>
        </is>
      </c>
    </row>
    <row r="37">
      <c r="A37" s="30" t="inlineStr">
        <is>
          <t>FE045976</t>
        </is>
      </c>
      <c r="B37" s="157" t="inlineStr">
        <is>
          <t>Ausleger für Gitterr. (400mm) pro mtr./1 Stk.</t>
        </is>
      </c>
      <c r="C37" s="31" t="inlineStr">
        <is>
          <t>stk.</t>
        </is>
      </c>
      <c r="D37" s="27" t="n"/>
      <c r="E37" s="35" t="inlineStr">
        <is>
          <t>12 Stk. in einer VPE</t>
        </is>
      </c>
    </row>
    <row r="38">
      <c r="A38" s="30" t="inlineStr">
        <is>
          <t>FE045978</t>
        </is>
      </c>
      <c r="B38" s="157" t="inlineStr">
        <is>
          <t>Ausleger für Gitterr. (600mm) pro mtr./1 Stk.</t>
        </is>
      </c>
      <c r="C38" s="31" t="inlineStr">
        <is>
          <t>stk.</t>
        </is>
      </c>
      <c r="D38" s="27" t="n"/>
      <c r="E38" s="35" t="inlineStr">
        <is>
          <t>8 Stk. in einer VPE</t>
        </is>
      </c>
    </row>
    <row r="39">
      <c r="A39" s="30" t="inlineStr">
        <is>
          <t>QU2641540</t>
        </is>
      </c>
      <c r="B39" s="157" t="inlineStr">
        <is>
          <t>Ausleger für Gitterr. (800mm) pro mtr./1 Stk.</t>
        </is>
      </c>
      <c r="C39" s="31" t="inlineStr">
        <is>
          <t>stk.</t>
        </is>
      </c>
      <c r="D39" s="27" t="n"/>
      <c r="E39" s="17" t="n"/>
    </row>
    <row r="40" ht="15.75" customHeight="1" s="195">
      <c r="A40" s="30" t="inlineStr">
        <is>
          <t>FE225082</t>
        </is>
      </c>
      <c r="B40" s="153" t="inlineStr">
        <is>
          <t>Schrauben/Kepsmutter für Gitterr. Platten (Pack. 100 Stk)</t>
        </is>
      </c>
      <c r="C40" s="31" t="inlineStr">
        <is>
          <t>Pack</t>
        </is>
      </c>
      <c r="D40" s="28" t="n"/>
      <c r="E40" s="33" t="inlineStr">
        <is>
          <t>Verkaufseinheit v. Fega: 100 Stueck</t>
        </is>
      </c>
    </row>
    <row r="41" ht="28.5" customHeight="1" s="195">
      <c r="A41" s="30" t="inlineStr">
        <is>
          <t>FE225081</t>
        </is>
      </c>
      <c r="B41" s="157" t="inlineStr">
        <is>
          <t>Platten für Gitterrinne (Pack. 25 Stk)</t>
        </is>
      </c>
      <c r="C41" s="31" t="inlineStr">
        <is>
          <t>Pack</t>
        </is>
      </c>
      <c r="D41" s="28" t="n"/>
      <c r="E41" s="33" t="inlineStr">
        <is>
          <t>Verkaufseinheit v. Fega: 25 Stueck</t>
        </is>
      </c>
    </row>
    <row r="42">
      <c r="A42" s="29" t="n"/>
      <c r="B42" s="159" t="inlineStr">
        <is>
          <t>Kabel</t>
        </is>
      </c>
      <c r="C42" s="18" t="n"/>
      <c r="D42" s="18" t="n"/>
      <c r="E42" s="19" t="n"/>
    </row>
    <row r="43" ht="18" customHeight="1" s="195">
      <c r="A43" s="30" t="inlineStr">
        <is>
          <t>FE025922</t>
        </is>
      </c>
      <c r="B43" s="157" t="inlineStr">
        <is>
          <t>Patchkabel 0,5 m (mit Schirmung)</t>
        </is>
      </c>
      <c r="C43" s="31" t="inlineStr">
        <is>
          <t>stk.</t>
        </is>
      </c>
      <c r="D43" s="27" t="n"/>
      <c r="E43" s="17" t="n"/>
    </row>
    <row r="44" ht="15.75" customHeight="1" s="195">
      <c r="A44" s="30" t="inlineStr">
        <is>
          <t>FE025923</t>
        </is>
      </c>
      <c r="B44" s="157" t="inlineStr">
        <is>
          <t>Patchkabel 1,0 m (mit Schirmung)</t>
        </is>
      </c>
      <c r="C44" s="31" t="inlineStr">
        <is>
          <t>stk.</t>
        </is>
      </c>
      <c r="D44" s="27" t="n"/>
      <c r="E44" s="17" t="n"/>
    </row>
    <row r="45" ht="15.75" customHeight="1" s="195">
      <c r="A45" s="30" t="inlineStr">
        <is>
          <t>FE025926</t>
        </is>
      </c>
      <c r="B45" s="157" t="inlineStr">
        <is>
          <t>Patchkabel 3,0 m (mit Schirmung)</t>
        </is>
      </c>
      <c r="C45" s="31" t="inlineStr">
        <is>
          <t>stk.</t>
        </is>
      </c>
      <c r="D45" s="27" t="n"/>
      <c r="E45" s="17" t="n"/>
    </row>
    <row r="46" ht="15.75" customHeight="1" s="195">
      <c r="A46" s="30" t="inlineStr">
        <is>
          <t>FE132203</t>
        </is>
      </c>
      <c r="B46" s="151" t="inlineStr">
        <is>
          <t>Steuerleitung: 7x0,75mm² (CRS → Wedholms+Fremdtank)</t>
        </is>
      </c>
      <c r="C46" s="21" t="inlineStr">
        <is>
          <t>lfm.</t>
        </is>
      </c>
      <c r="D46" s="22" t="n"/>
      <c r="E46" s="23" t="inlineStr">
        <is>
          <t>1 Bund = 100 m</t>
        </is>
      </c>
    </row>
    <row r="47" ht="15.75" customHeight="1" s="195">
      <c r="A47" s="30" t="inlineStr">
        <is>
          <t>FE135472</t>
        </is>
      </c>
      <c r="B47" s="158" t="inlineStr">
        <is>
          <t>Steuerleitung: 3x1,5mm² (CRS → Antennebox)</t>
        </is>
      </c>
      <c r="C47" s="21" t="inlineStr">
        <is>
          <t>lfm.</t>
        </is>
      </c>
      <c r="D47" s="22" t="n"/>
      <c r="E47" s="36" t="inlineStr">
        <is>
          <t>1 Bund = 100 m</t>
        </is>
      </c>
    </row>
    <row r="48" ht="15.75" customHeight="1" s="195">
      <c r="A48" s="30" t="inlineStr">
        <is>
          <t>FE132129</t>
        </is>
      </c>
      <c r="B48" s="156" t="inlineStr">
        <is>
          <t>Steuerleitung: 2x1mm² (CRS → Kompressor)</t>
        </is>
      </c>
      <c r="C48" s="21" t="inlineStr">
        <is>
          <t>lfm.</t>
        </is>
      </c>
      <c r="D48" s="22" t="n"/>
      <c r="E48" s="23" t="inlineStr">
        <is>
          <t>1 Bund = 100 m</t>
        </is>
      </c>
    </row>
    <row r="49" ht="15.75" customHeight="1" s="195">
      <c r="A49" s="30" t="inlineStr">
        <is>
          <t>FE844746</t>
        </is>
      </c>
      <c r="B49" s="155" t="inlineStr">
        <is>
          <t>Stromkabel 3x2,5mm² mit Schirmung (CU → RU)</t>
        </is>
      </c>
      <c r="C49" s="21" t="inlineStr">
        <is>
          <t>lfm.</t>
        </is>
      </c>
      <c r="D49" s="22" t="n"/>
      <c r="E49" s="36" t="n"/>
    </row>
    <row r="50" ht="15.75" customHeight="1" s="195">
      <c r="A50" s="37" t="inlineStr">
        <is>
          <t>FE025406</t>
        </is>
      </c>
      <c r="B50" s="161" t="inlineStr">
        <is>
          <t>Datenkabel CAT 7 (250m)</t>
        </is>
      </c>
      <c r="C50" s="38" t="inlineStr">
        <is>
          <t>lfm.</t>
        </is>
      </c>
      <c r="D50" s="22" t="n"/>
      <c r="E50" s="39" t="inlineStr">
        <is>
          <t>1 Bund = 250 m</t>
        </is>
      </c>
    </row>
    <row r="51" ht="15.75" customHeight="1" s="195">
      <c r="A51" t="inlineStr">
        <is>
          <t>9.1190.0452.0</t>
        </is>
      </c>
      <c r="B51" t="inlineStr">
        <is>
          <t>Netzwerkkoppler</t>
        </is>
      </c>
      <c r="C51" t="inlineStr">
        <is>
          <t>stk.</t>
        </is>
      </c>
    </row>
    <row r="52">
      <c r="A52" t="inlineStr">
        <is>
          <t>9.1190.0105.0</t>
        </is>
      </c>
      <c r="B52" t="inlineStr">
        <is>
          <t>Patchkabel für Netzwerkkoppler (ohne Schirmung)</t>
        </is>
      </c>
      <c r="C52" t="inlineStr">
        <is>
          <t>stk.</t>
        </is>
      </c>
    </row>
    <row r="53" ht="28.5" customHeight="1" s="195">
      <c r="A53" s="41" t="n"/>
      <c r="B53" s="163" t="inlineStr">
        <is>
          <t>Elektrozubehör</t>
        </is>
      </c>
      <c r="C53" s="42" t="n"/>
      <c r="D53" s="42" t="n"/>
      <c r="E53" s="43" t="n"/>
    </row>
    <row r="54">
      <c r="A54" s="30" t="inlineStr">
        <is>
          <t>FE786161</t>
        </is>
      </c>
      <c r="B54" s="156" t="inlineStr">
        <is>
          <t>E-DATmodul REG8</t>
        </is>
      </c>
      <c r="C54" s="26" t="inlineStr">
        <is>
          <t>stk.</t>
        </is>
      </c>
      <c r="D54" s="27" t="n"/>
      <c r="E54" s="17" t="n"/>
    </row>
    <row r="55">
      <c r="A55" s="30" t="inlineStr">
        <is>
          <t>FE780162</t>
        </is>
      </c>
      <c r="B55" s="157" t="inlineStr">
        <is>
          <t>RJ45-Stecker</t>
        </is>
      </c>
      <c r="C55" s="26" t="inlineStr">
        <is>
          <t>stk.</t>
        </is>
      </c>
      <c r="D55" s="27" t="n"/>
      <c r="E55" s="44" t="n"/>
    </row>
    <row r="56">
      <c r="A56" s="30" t="inlineStr">
        <is>
          <t>FE845014</t>
        </is>
      </c>
      <c r="B56" s="157" t="inlineStr">
        <is>
          <t>Datenstecker Cat6 gewinkelt</t>
        </is>
      </c>
      <c r="C56" s="26" t="inlineStr">
        <is>
          <t>stk.</t>
        </is>
      </c>
      <c r="D56" s="27" t="n"/>
      <c r="E56" s="44" t="n"/>
    </row>
    <row r="57">
      <c r="A57" s="20" t="inlineStr">
        <is>
          <t>FE720655</t>
        </is>
      </c>
      <c r="B57" s="157" t="inlineStr">
        <is>
          <t>5-polig CEE Stecker 16A</t>
        </is>
      </c>
      <c r="C57" s="26" t="inlineStr">
        <is>
          <t>stk.</t>
        </is>
      </c>
      <c r="D57" s="27" t="n"/>
      <c r="E57" s="17" t="n"/>
    </row>
    <row r="58">
      <c r="A58" s="30" t="inlineStr">
        <is>
          <t>FE050470</t>
        </is>
      </c>
      <c r="B58" s="157" t="inlineStr">
        <is>
          <t>Kabelkanal 110x60 (Lichtgrau)</t>
        </is>
      </c>
      <c r="C58" s="26" t="inlineStr">
        <is>
          <t>lfm.</t>
        </is>
      </c>
      <c r="D58" s="27" t="n"/>
      <c r="E58" s="35" t="inlineStr">
        <is>
          <t>1 Stk.=2 m, 1 Bund = 16m (Meterware buchen)</t>
        </is>
      </c>
    </row>
    <row r="59">
      <c r="A59" s="30" t="inlineStr">
        <is>
          <t>FE872026</t>
        </is>
      </c>
      <c r="B59" s="157" t="inlineStr">
        <is>
          <t>WAGO Verbindungsklemmen 2polig</t>
        </is>
      </c>
      <c r="C59" s="26" t="inlineStr">
        <is>
          <t>stk.</t>
        </is>
      </c>
      <c r="D59" s="27" t="n"/>
      <c r="E59" s="35" t="n"/>
    </row>
    <row r="60" ht="18" customHeight="1" s="195">
      <c r="A60" s="30" t="inlineStr">
        <is>
          <t>FE872027</t>
        </is>
      </c>
      <c r="B60" s="157" t="inlineStr">
        <is>
          <t>WAGO Verbindungsklemmen 3polig</t>
        </is>
      </c>
      <c r="C60" s="26" t="inlineStr">
        <is>
          <t>stk.</t>
        </is>
      </c>
      <c r="D60" s="27" t="n"/>
      <c r="E60" s="35" t="n"/>
    </row>
    <row r="61" ht="15.75" customHeight="1" s="195">
      <c r="A61" s="30" t="inlineStr">
        <is>
          <t>FE872028</t>
        </is>
      </c>
      <c r="B61" s="157" t="inlineStr">
        <is>
          <t>WAGO Verbindungsklemmen 5polig</t>
        </is>
      </c>
      <c r="C61" s="26" t="inlineStr">
        <is>
          <t>stk.</t>
        </is>
      </c>
      <c r="D61" s="27" t="n"/>
      <c r="E61" s="44" t="n"/>
    </row>
    <row r="62" ht="15.75" customHeight="1" s="195">
      <c r="A62" s="30" t="inlineStr">
        <is>
          <t>9.1186.1066.0</t>
        </is>
      </c>
      <c r="B62" s="157" t="inlineStr">
        <is>
          <t>Connector SACC</t>
        </is>
      </c>
      <c r="C62" s="26" t="inlineStr">
        <is>
          <t>stk.</t>
        </is>
      </c>
      <c r="D62" s="27" t="n"/>
      <c r="E62" s="44" t="n"/>
    </row>
    <row r="63">
      <c r="A63" s="30" t="inlineStr">
        <is>
          <t>9.1186.1067.0</t>
        </is>
      </c>
      <c r="B63" s="157" t="inlineStr">
        <is>
          <t>M 12 Stecker für Automatiktor Anschluss</t>
        </is>
      </c>
      <c r="C63" s="26" t="inlineStr">
        <is>
          <t>stk.</t>
        </is>
      </c>
      <c r="D63" s="27" t="n"/>
      <c r="E63" s="44" t="n"/>
    </row>
    <row r="64">
      <c r="A64" s="29" t="n"/>
      <c r="B64" s="159" t="inlineStr">
        <is>
          <t>Sonstiges Zubehör</t>
        </is>
      </c>
      <c r="C64" s="18" t="n"/>
      <c r="D64" s="18" t="n"/>
      <c r="E64" s="19" t="n"/>
    </row>
    <row r="65">
      <c r="A65" s="45" t="inlineStr">
        <is>
          <t>FE803592</t>
        </is>
      </c>
      <c r="B65" s="157" t="inlineStr">
        <is>
          <t>PVC-Rohr (Typrohr) M25</t>
        </is>
      </c>
      <c r="C65" s="46" t="inlineStr">
        <is>
          <t xml:space="preserve">Stk. </t>
        </is>
      </c>
      <c r="D65" s="24" t="n"/>
      <c r="E65" s="47" t="inlineStr">
        <is>
          <t>Für Buchung: 1x Typrohr = 3m / 19 Stk. im Bündel</t>
        </is>
      </c>
    </row>
    <row r="66">
      <c r="A66" s="45" t="inlineStr">
        <is>
          <t>FE050420</t>
        </is>
      </c>
      <c r="B66" s="157" t="inlineStr">
        <is>
          <t>Typrohrschellen M25</t>
        </is>
      </c>
      <c r="C66" s="46" t="inlineStr">
        <is>
          <t>Pack</t>
        </is>
      </c>
      <c r="D66" s="28" t="n"/>
      <c r="E66" s="48" t="inlineStr">
        <is>
          <t>100 Stk. im Pack - Buchung in Stück !</t>
        </is>
      </c>
    </row>
    <row r="67">
      <c r="A67" s="20" t="inlineStr">
        <is>
          <t>9.1066.0054.2</t>
        </is>
      </c>
      <c r="B67" s="164" t="inlineStr">
        <is>
          <t>Schlauchschellen 10.5-12.0mm (Dippmittelleitung)</t>
        </is>
      </c>
      <c r="C67" s="31" t="inlineStr">
        <is>
          <t>stk.</t>
        </is>
      </c>
      <c r="D67" s="27" t="n"/>
      <c r="E67" s="17" t="n"/>
    </row>
    <row r="68">
      <c r="A68" s="20" t="inlineStr">
        <is>
          <t>9.1066.0020.3</t>
        </is>
      </c>
      <c r="B68" s="164" t="inlineStr">
        <is>
          <t>Schlauchschellen 16-27mm (PVC Milchleitung)</t>
        </is>
      </c>
      <c r="C68" s="31" t="inlineStr">
        <is>
          <t>stk.</t>
        </is>
      </c>
      <c r="D68" s="27" t="n"/>
      <c r="E68" s="17" t="n"/>
    </row>
    <row r="69">
      <c r="A69" s="20" t="inlineStr">
        <is>
          <t>9.1066.0023.6</t>
        </is>
      </c>
      <c r="B69" s="157" t="inlineStr">
        <is>
          <t>Schlauchschellen 32-50mm (Vakuumleitung)</t>
        </is>
      </c>
      <c r="C69" s="26" t="inlineStr">
        <is>
          <t>stk.</t>
        </is>
      </c>
      <c r="D69" s="27" t="n"/>
      <c r="E69" s="17" t="n"/>
    </row>
    <row r="70" ht="18" customHeight="1" s="195">
      <c r="A70" s="20" t="inlineStr">
        <is>
          <t>9.1066.0120.0</t>
        </is>
      </c>
      <c r="B70" s="164" t="inlineStr">
        <is>
          <t>Schlauchschellen 20-32mm Edelstahl (f. 19mm Wasserschlauch)</t>
        </is>
      </c>
      <c r="C70" s="31" t="inlineStr">
        <is>
          <t>stk.</t>
        </is>
      </c>
      <c r="D70" s="27" t="n"/>
      <c r="E70" s="17" t="n"/>
    </row>
    <row r="71">
      <c r="A71" s="20" t="inlineStr">
        <is>
          <t>BB576367</t>
        </is>
      </c>
      <c r="B71" s="157" t="inlineStr">
        <is>
          <t>Spaltenanker (normal)</t>
        </is>
      </c>
      <c r="C71" s="26" t="inlineStr">
        <is>
          <t>stk.</t>
        </is>
      </c>
      <c r="D71" s="27" t="n"/>
      <c r="E71" s="17" t="n"/>
    </row>
    <row r="72">
      <c r="A72" s="20" t="inlineStr">
        <is>
          <t>BD300302</t>
        </is>
      </c>
      <c r="B72" s="157" t="inlineStr">
        <is>
          <t>Spaltenanker (für ungerade Spalten)</t>
        </is>
      </c>
      <c r="C72" s="26" t="inlineStr">
        <is>
          <t>stk.</t>
        </is>
      </c>
      <c r="D72" s="27" t="n"/>
      <c r="E72" s="25" t="inlineStr">
        <is>
          <t>Sonderausführung</t>
        </is>
      </c>
    </row>
    <row r="73" ht="15.75" customHeight="1" s="195">
      <c r="A73" s="20" t="inlineStr">
        <is>
          <t>9.1137.0937.2</t>
        </is>
      </c>
      <c r="B73" s="160" t="inlineStr">
        <is>
          <t>Milchleitungsschellen (Schwarz)</t>
        </is>
      </c>
      <c r="C73" s="31" t="inlineStr">
        <is>
          <t>Pack</t>
        </is>
      </c>
      <c r="D73" s="28" t="n"/>
      <c r="E73" s="25" t="inlineStr">
        <is>
          <t>10Stk pro 1 Packung</t>
        </is>
      </c>
    </row>
    <row r="74" ht="15.75" customHeight="1" s="195">
      <c r="A74" s="20" t="inlineStr">
        <is>
          <t>9.1130.0028.3</t>
        </is>
      </c>
      <c r="B74" s="157" t="inlineStr">
        <is>
          <t xml:space="preserve">Dichtung Rohrkühler </t>
        </is>
      </c>
      <c r="C74" s="31" t="inlineStr">
        <is>
          <t>stk.</t>
        </is>
      </c>
      <c r="D74" s="27" t="n"/>
      <c r="E74" s="17" t="n"/>
    </row>
    <row r="75" ht="15.75" customHeight="1" s="195">
      <c r="A75" s="49" t="inlineStr">
        <is>
          <t>9.1066.0065.6</t>
        </is>
      </c>
      <c r="B75" s="165" t="inlineStr">
        <is>
          <t>Tri - Clamp Schelle Rohrkühler</t>
        </is>
      </c>
      <c r="C75" s="26" t="inlineStr">
        <is>
          <t>stk.</t>
        </is>
      </c>
      <c r="D75" s="27" t="n"/>
      <c r="E75" s="17" t="n"/>
    </row>
    <row r="76">
      <c r="A76" s="49" t="inlineStr">
        <is>
          <t>5.1004.5853.0</t>
        </is>
      </c>
      <c r="B76" s="166" t="inlineStr">
        <is>
          <t>Milchleitungsanschluss Rohrkühler gerade</t>
        </is>
      </c>
      <c r="C76" s="26" t="inlineStr">
        <is>
          <t>stk.</t>
        </is>
      </c>
      <c r="D76" s="27" t="n"/>
      <c r="E76" s="17" t="n"/>
    </row>
    <row r="77">
      <c r="A77" s="50" t="inlineStr">
        <is>
          <t>5.1080.0731.0</t>
        </is>
      </c>
      <c r="B77" s="167" t="inlineStr">
        <is>
          <t xml:space="preserve">90° Bogen Milchleitungsanschluss Rohrkühler </t>
        </is>
      </c>
      <c r="C77" s="51" t="inlineStr">
        <is>
          <t>stk.</t>
        </is>
      </c>
      <c r="D77" s="52" t="n"/>
      <c r="E77" s="53" t="n"/>
    </row>
    <row r="78" ht="15.75" customHeight="1" s="195">
      <c r="A78" s="49" t="inlineStr">
        <is>
          <t>BD7410081</t>
        </is>
      </c>
      <c r="B78" s="152" t="inlineStr">
        <is>
          <t>Y-Stück 19mm Wasserleitung                (Boetech)</t>
        </is>
      </c>
      <c r="C78" s="26" t="inlineStr">
        <is>
          <t>stk.</t>
        </is>
      </c>
      <c r="D78" s="27" t="n"/>
      <c r="E78" s="17" t="n"/>
    </row>
    <row r="79" ht="15.75" customHeight="1" s="195">
      <c r="A79" s="49" t="inlineStr">
        <is>
          <t>L400361</t>
        </is>
      </c>
      <c r="B79" s="168" t="inlineStr">
        <is>
          <t>Y- Verbindung für Milchleitung</t>
        </is>
      </c>
      <c r="C79" s="26" t="inlineStr">
        <is>
          <t>stk.</t>
        </is>
      </c>
      <c r="D79" s="27" t="n"/>
      <c r="E79" s="25" t="inlineStr">
        <is>
          <t>3x Pex - 22mm</t>
        </is>
      </c>
    </row>
    <row r="80" ht="15.75" customHeight="1" s="195">
      <c r="A80" s="54" t="inlineStr">
        <is>
          <t>5.1005.5452.0</t>
        </is>
      </c>
      <c r="B80" s="154" t="inlineStr">
        <is>
          <t>Neues Y-Stück geschweißt, 19mm     (Heisswasserltg.)</t>
        </is>
      </c>
      <c r="C80" s="26" t="inlineStr">
        <is>
          <t>stk.</t>
        </is>
      </c>
      <c r="D80" s="27" t="n"/>
      <c r="E80" s="33" t="inlineStr">
        <is>
          <t xml:space="preserve">Bei Bedarf bestellen - größere Ränder </t>
        </is>
      </c>
    </row>
    <row r="81" ht="15.75" customHeight="1" s="195">
      <c r="A81" s="54" t="inlineStr">
        <is>
          <t>5.1004.7360.0</t>
        </is>
      </c>
      <c r="B81" s="154" t="inlineStr">
        <is>
          <t>Y-Stück Wasserleitung, 19mm            (Kaltwasserltg.)</t>
        </is>
      </c>
      <c r="C81" s="21" t="inlineStr">
        <is>
          <t>stk.</t>
        </is>
      </c>
      <c r="D81" s="27" t="n"/>
      <c r="E81" s="17" t="n"/>
    </row>
    <row r="82" ht="15.75" customHeight="1" s="195">
      <c r="A82" s="55" t="inlineStr">
        <is>
          <t>5.1003.7230.0</t>
        </is>
      </c>
      <c r="B82" s="169" t="inlineStr">
        <is>
          <t>T-Stück Milchleitung (geschweißt)</t>
        </is>
      </c>
      <c r="C82" s="56" t="inlineStr">
        <is>
          <t>stk.</t>
        </is>
      </c>
      <c r="D82" s="57" t="n"/>
      <c r="E82" s="58" t="n"/>
    </row>
    <row r="83" ht="15.75" customHeight="1" s="195">
      <c r="A83" s="49" t="inlineStr">
        <is>
          <t>9.1138.1237.0</t>
        </is>
      </c>
      <c r="B83" s="170" t="inlineStr">
        <is>
          <t>22 mm T-Stück Luftanschluss</t>
        </is>
      </c>
      <c r="C83" s="26" t="inlineStr">
        <is>
          <t>stk.</t>
        </is>
      </c>
      <c r="D83" s="27" t="n"/>
      <c r="E83" s="17" t="n"/>
    </row>
    <row r="84" ht="15.75" customHeight="1" s="195">
      <c r="A84" s="54" t="inlineStr">
        <is>
          <t>RMWE12ESE</t>
        </is>
      </c>
      <c r="B84" s="168" t="inlineStr">
        <is>
          <t>90' Einschraubwinkel 1/2"</t>
        </is>
      </c>
      <c r="C84" s="21" t="inlineStr">
        <is>
          <t>stk.</t>
        </is>
      </c>
      <c r="D84" s="27" t="n"/>
      <c r="E84" s="17" t="n"/>
    </row>
    <row r="85" ht="15.75" customHeight="1" s="195">
      <c r="A85" s="54" t="inlineStr">
        <is>
          <t>RMD22L</t>
        </is>
      </c>
      <c r="B85" s="168" t="inlineStr">
        <is>
          <t>Schneidring 22</t>
        </is>
      </c>
      <c r="C85" s="21" t="inlineStr">
        <is>
          <t>stk.</t>
        </is>
      </c>
      <c r="D85" s="27" t="n"/>
      <c r="E85" s="17" t="n"/>
    </row>
    <row r="86" ht="15.75" customHeight="1" s="195">
      <c r="A86" s="50" t="inlineStr">
        <is>
          <t>5.1002.6687.0</t>
        </is>
      </c>
      <c r="B86" s="167" t="inlineStr">
        <is>
          <t>Milchleitungsverbinder PVC</t>
        </is>
      </c>
      <c r="C86" s="51" t="inlineStr">
        <is>
          <t>stk.</t>
        </is>
      </c>
      <c r="D86" s="27" t="n"/>
      <c r="E86" s="53" t="n"/>
    </row>
    <row r="87">
      <c r="A87" s="54" t="inlineStr">
        <is>
          <t>5.9723.0000.2</t>
        </is>
      </c>
      <c r="B87" s="165" t="inlineStr">
        <is>
          <t>Texastorflügel</t>
        </is>
      </c>
      <c r="C87" s="21" t="inlineStr">
        <is>
          <t>Satz (Stk.)</t>
        </is>
      </c>
      <c r="D87" s="60" t="n"/>
      <c r="E87" s="33" t="inlineStr">
        <is>
          <t>1 Satz = 2 Stk. 1x links und 1x rechts</t>
        </is>
      </c>
    </row>
    <row r="88" ht="28.5" customHeight="1" s="195">
      <c r="A88" s="54" t="inlineStr">
        <is>
          <t>5.1005.3740.0</t>
        </is>
      </c>
      <c r="B88" s="158" t="inlineStr">
        <is>
          <t>Connection Set 19mm CU to 1 RU</t>
        </is>
      </c>
      <c r="C88" s="51" t="inlineStr">
        <is>
          <t>stk.</t>
        </is>
      </c>
      <c r="D88" s="27" t="n"/>
      <c r="E88" s="61" t="n"/>
    </row>
    <row r="89" ht="28.5" customHeight="1" s="195">
      <c r="A89" s="54" t="inlineStr">
        <is>
          <t>5.1005.3741.0</t>
        </is>
      </c>
      <c r="B89" s="158" t="inlineStr">
        <is>
          <t>Connection Set 19mm CU to 2 RU</t>
        </is>
      </c>
      <c r="C89" s="51" t="inlineStr">
        <is>
          <t>stk.</t>
        </is>
      </c>
      <c r="D89" s="27" t="n"/>
      <c r="E89" s="23" t="inlineStr">
        <is>
          <t xml:space="preserve">Doppelanlage </t>
        </is>
      </c>
    </row>
    <row r="90" ht="15.75" customHeight="1" s="195">
      <c r="A90" s="62" t="inlineStr">
        <is>
          <t>9.1190.0658.0</t>
        </is>
      </c>
      <c r="B90" s="146" t="inlineStr">
        <is>
          <t xml:space="preserve">Kabel Reset Sensor-Anschlusskabel mit M12 Stecker fertig konfiguriert </t>
        </is>
      </c>
      <c r="C90" s="21" t="inlineStr">
        <is>
          <t>Stk.</t>
        </is>
      </c>
      <c r="D90" s="24" t="n"/>
      <c r="E90" s="35" t="inlineStr">
        <is>
          <t xml:space="preserve">wenn Ventilüberwachung verbaut </t>
        </is>
      </c>
    </row>
    <row r="91" ht="15.75" customHeight="1" s="195">
      <c r="A91" s="54" t="inlineStr">
        <is>
          <t>LD110000</t>
        </is>
      </c>
      <c r="B91" s="158" t="inlineStr">
        <is>
          <t>Kreuzschellen (pro Sep.tor zwei Stück)</t>
        </is>
      </c>
      <c r="C91" s="21" t="inlineStr">
        <is>
          <t>Stk.</t>
        </is>
      </c>
      <c r="D91" s="24" t="n"/>
      <c r="E91" s="61" t="n"/>
    </row>
    <row r="92" ht="15.75" customHeight="1" s="195">
      <c r="A92" s="54" t="inlineStr">
        <is>
          <t>9.1138.0129.0</t>
        </is>
      </c>
      <c r="B92" s="158" t="inlineStr">
        <is>
          <t>Druckluftbegrenzungsventil CRS</t>
        </is>
      </c>
      <c r="C92" s="21" t="inlineStr">
        <is>
          <t>Stk.</t>
        </is>
      </c>
      <c r="D92" s="24" t="n"/>
      <c r="E92" s="61" t="n"/>
    </row>
    <row r="93" ht="15.75" customHeight="1" s="195">
      <c r="A93" s="54" t="inlineStr">
        <is>
          <t>9.1190.0658.0</t>
        </is>
      </c>
      <c r="B93" s="158" t="inlineStr">
        <is>
          <t>Kabel für Ventilüberwachung (10 Meter)</t>
        </is>
      </c>
      <c r="C93" s="21" t="inlineStr">
        <is>
          <t>Stk.</t>
        </is>
      </c>
      <c r="D93" s="24" t="n"/>
      <c r="E93" s="61" t="n"/>
    </row>
    <row r="94" ht="15.75" customHeight="1" s="195">
      <c r="A94" s="54" t="inlineStr">
        <is>
          <t>RO086266</t>
        </is>
      </c>
      <c r="B94" s="158" t="inlineStr">
        <is>
          <t>BIS Schelle BIFIX 1301 25 - 28 mm</t>
        </is>
      </c>
      <c r="C94" s="21" t="inlineStr">
        <is>
          <t>Stk.</t>
        </is>
      </c>
      <c r="D94" s="24" t="n"/>
      <c r="E94" s="33" t="inlineStr">
        <is>
          <t>Rohrschelle mit Gewinde / Gummieinlage</t>
        </is>
      </c>
    </row>
    <row r="95" ht="15.75" customHeight="1" s="195">
      <c r="A95" s="54" t="inlineStr">
        <is>
          <t>LD086267</t>
        </is>
      </c>
      <c r="B95" s="158" t="inlineStr">
        <is>
          <t>BIS Schelle BIFIX 31 - 35mm Edelstahl</t>
        </is>
      </c>
      <c r="C95" s="21" t="inlineStr">
        <is>
          <t>Stk.</t>
        </is>
      </c>
      <c r="D95" s="24" t="n"/>
      <c r="E95" s="33" t="inlineStr">
        <is>
          <t>Rohrschelle mit Gewinde / Gummieinlage</t>
        </is>
      </c>
    </row>
    <row r="96">
      <c r="A96" s="63" t="n"/>
      <c r="B96" s="171" t="inlineStr">
        <is>
          <t>Festo</t>
        </is>
      </c>
      <c r="C96" s="64" t="n"/>
      <c r="D96" s="18" t="n"/>
      <c r="E96" s="65" t="n"/>
    </row>
    <row r="97">
      <c r="A97" s="66" t="inlineStr">
        <is>
          <t>ROIQST40</t>
        </is>
      </c>
      <c r="B97" s="158" t="inlineStr">
        <is>
          <t>T-Stück 4-4-4</t>
        </is>
      </c>
      <c r="C97" s="67" t="inlineStr">
        <is>
          <t>stk.</t>
        </is>
      </c>
      <c r="D97" s="27" t="n"/>
      <c r="E97" s="61" t="n"/>
    </row>
    <row r="98">
      <c r="A98" s="66" t="inlineStr">
        <is>
          <t>ROIQSG40</t>
        </is>
      </c>
      <c r="B98" s="158" t="inlineStr">
        <is>
          <t>Verbinder gerade 4</t>
        </is>
      </c>
      <c r="C98" s="67" t="inlineStr">
        <is>
          <t>stk.</t>
        </is>
      </c>
      <c r="D98" s="27" t="n"/>
      <c r="E98" s="61" t="n"/>
    </row>
    <row r="99" ht="28.5" customHeight="1" s="195">
      <c r="A99" s="66" t="inlineStr">
        <is>
          <t>ROIQSG40H60</t>
        </is>
      </c>
      <c r="B99" s="158" t="inlineStr">
        <is>
          <t>Reduzierung 6 auf 4</t>
        </is>
      </c>
      <c r="C99" s="67" t="inlineStr">
        <is>
          <t>stk.</t>
        </is>
      </c>
      <c r="D99" s="27" t="n"/>
      <c r="E99" s="61" t="n"/>
    </row>
    <row r="100">
      <c r="A100" s="66" t="inlineStr">
        <is>
          <t>ROIQSG60H40</t>
        </is>
      </c>
      <c r="B100" s="158" t="inlineStr">
        <is>
          <t>Reduzierung 4 auf 6</t>
        </is>
      </c>
      <c r="C100" s="67" t="inlineStr">
        <is>
          <t>stk.</t>
        </is>
      </c>
      <c r="D100" s="27" t="n"/>
      <c r="E100" s="61" t="n"/>
    </row>
    <row r="101">
      <c r="A101" s="66" t="inlineStr">
        <is>
          <t>ROIQST60</t>
        </is>
      </c>
      <c r="B101" s="158" t="inlineStr">
        <is>
          <t>T-Stück 6-6-6</t>
        </is>
      </c>
      <c r="C101" s="67" t="inlineStr">
        <is>
          <t>stk.</t>
        </is>
      </c>
      <c r="D101" s="27" t="n"/>
      <c r="E101" s="61" t="n"/>
    </row>
    <row r="102">
      <c r="A102" s="66" t="inlineStr">
        <is>
          <t>ROIQSG60</t>
        </is>
      </c>
      <c r="B102" s="158" t="inlineStr">
        <is>
          <t>Verbinder gerade 6</t>
        </is>
      </c>
      <c r="C102" s="67" t="inlineStr">
        <is>
          <t>stk.</t>
        </is>
      </c>
      <c r="D102" s="27" t="n"/>
      <c r="E102" s="61" t="n"/>
    </row>
    <row r="103">
      <c r="A103" s="66" t="inlineStr">
        <is>
          <t>ROIQSL186</t>
        </is>
      </c>
      <c r="B103" s="158" t="inlineStr">
        <is>
          <t>Winkelstück 6 für Ventilblock (altes CRS +)</t>
        </is>
      </c>
      <c r="C103" s="67" t="inlineStr">
        <is>
          <t>stk.</t>
        </is>
      </c>
      <c r="D103" s="27" t="n"/>
      <c r="E103" s="61" t="n"/>
    </row>
    <row r="104">
      <c r="A104" s="66" t="inlineStr">
        <is>
          <t>RMIQSDRV60</t>
        </is>
      </c>
      <c r="B104" s="158" t="inlineStr">
        <is>
          <t>Drosselrückschlagventil 6</t>
        </is>
      </c>
      <c r="C104" s="67" t="inlineStr">
        <is>
          <t>stk.</t>
        </is>
      </c>
      <c r="D104" s="27" t="n"/>
      <c r="E104" s="61" t="n"/>
    </row>
    <row r="105" ht="18" customHeight="1" s="195">
      <c r="A105" s="66" t="inlineStr">
        <is>
          <t>ROIQSY60</t>
        </is>
      </c>
      <c r="B105" s="158" t="inlineStr">
        <is>
          <t>Y-Stück 6</t>
        </is>
      </c>
      <c r="C105" s="67" t="inlineStr">
        <is>
          <t>stk.</t>
        </is>
      </c>
      <c r="D105" s="27" t="n"/>
      <c r="E105" s="61" t="n"/>
    </row>
    <row r="106">
      <c r="A106" s="66" t="inlineStr">
        <is>
          <t>ROIQSG80</t>
        </is>
      </c>
      <c r="B106" s="158" t="inlineStr">
        <is>
          <t>Verbinder gerade 8</t>
        </is>
      </c>
      <c r="C106" s="67" t="inlineStr">
        <is>
          <t>stk.</t>
        </is>
      </c>
      <c r="D106" s="27" t="n"/>
      <c r="E106" s="61" t="n"/>
    </row>
    <row r="107">
      <c r="A107" s="66" t="inlineStr">
        <is>
          <t>ROIQSG100</t>
        </is>
      </c>
      <c r="B107" s="158" t="inlineStr">
        <is>
          <t>Verbinder gerade 10</t>
        </is>
      </c>
      <c r="C107" s="67" t="inlineStr">
        <is>
          <t>stk.</t>
        </is>
      </c>
      <c r="D107" s="27" t="n"/>
      <c r="E107" s="61" t="n"/>
    </row>
    <row r="108">
      <c r="A108" s="66" t="inlineStr">
        <is>
          <t>ROIQST100</t>
        </is>
      </c>
      <c r="B108" s="158" t="inlineStr">
        <is>
          <t>T-Stück 10-10-10</t>
        </is>
      </c>
      <c r="C108" s="67" t="inlineStr">
        <is>
          <t>stk.</t>
        </is>
      </c>
      <c r="D108" s="27" t="n"/>
      <c r="E108" s="61" t="n"/>
    </row>
    <row r="109">
      <c r="A109" s="66" t="inlineStr">
        <is>
          <t>RMIQST10060100</t>
        </is>
      </c>
      <c r="B109" s="158" t="inlineStr">
        <is>
          <t>T-Stück 10-6-10</t>
        </is>
      </c>
      <c r="C109" s="67" t="inlineStr">
        <is>
          <t>stk.</t>
        </is>
      </c>
      <c r="D109" s="27" t="n"/>
      <c r="E109" s="61" t="n"/>
    </row>
    <row r="110">
      <c r="A110" s="66" t="inlineStr">
        <is>
          <t>RMIQSG10060</t>
        </is>
      </c>
      <c r="B110" s="158" t="inlineStr">
        <is>
          <t>Reduzierung 10 auf 6</t>
        </is>
      </c>
      <c r="C110" s="67" t="inlineStr">
        <is>
          <t>stk.</t>
        </is>
      </c>
      <c r="D110" s="27" t="n"/>
      <c r="E110" s="61" t="n"/>
    </row>
    <row r="111">
      <c r="A111" s="66" t="inlineStr">
        <is>
          <t>ROIQSY100</t>
        </is>
      </c>
      <c r="B111" s="158" t="inlineStr">
        <is>
          <t>Y-Stück 10</t>
        </is>
      </c>
      <c r="C111" s="67" t="inlineStr">
        <is>
          <t>stk.</t>
        </is>
      </c>
      <c r="D111" s="27" t="n"/>
      <c r="E111" s="61" t="n"/>
    </row>
    <row r="112">
      <c r="A112" s="66" t="inlineStr">
        <is>
          <t>RMIQSG1210G</t>
        </is>
      </c>
      <c r="B112" s="158" t="inlineStr">
        <is>
          <t xml:space="preserve">10er Einschraubung auf Halbzoll </t>
        </is>
      </c>
      <c r="C112" s="67" t="inlineStr">
        <is>
          <t>stk.</t>
        </is>
      </c>
      <c r="D112" s="27" t="n"/>
      <c r="E112" s="61" t="n"/>
    </row>
    <row r="113">
      <c r="A113" s="66" t="inlineStr">
        <is>
          <t>RMHIQS100</t>
        </is>
      </c>
      <c r="B113" s="158" t="inlineStr">
        <is>
          <t>Rückschlagventile für Flüssigfütterung</t>
        </is>
      </c>
      <c r="C113" s="67" t="inlineStr">
        <is>
          <t>stk.</t>
        </is>
      </c>
      <c r="D113" s="27" t="n"/>
      <c r="E113" s="61" t="n"/>
    </row>
    <row r="114">
      <c r="A114" s="66" t="inlineStr">
        <is>
          <t>ROIQSG140</t>
        </is>
      </c>
      <c r="B114" s="158" t="inlineStr">
        <is>
          <t>Verbinder gerade 14</t>
        </is>
      </c>
      <c r="C114" s="67" t="inlineStr">
        <is>
          <t>stk.</t>
        </is>
      </c>
      <c r="D114" s="27" t="n"/>
      <c r="E114" s="61" t="n"/>
    </row>
    <row r="115">
      <c r="A115" s="66" t="inlineStr">
        <is>
          <t>RMIQST140</t>
        </is>
      </c>
      <c r="B115" s="158" t="inlineStr">
        <is>
          <t>T-Stück 14-14-14</t>
        </is>
      </c>
      <c r="C115" s="67" t="inlineStr">
        <is>
          <t>stk.</t>
        </is>
      </c>
      <c r="D115" s="27" t="n"/>
      <c r="E115" s="61" t="n"/>
    </row>
    <row r="116">
      <c r="A116" s="66" t="inlineStr">
        <is>
          <t>ROIQSG1214</t>
        </is>
      </c>
      <c r="B116" s="158" t="inlineStr">
        <is>
          <t xml:space="preserve">14er Einschraubung auf Halbzoll </t>
        </is>
      </c>
      <c r="C116" s="67" t="inlineStr">
        <is>
          <t>stk.</t>
        </is>
      </c>
      <c r="D116" s="27" t="n"/>
      <c r="E116" s="61" t="n"/>
    </row>
    <row r="117">
      <c r="A117" s="66" t="inlineStr">
        <is>
          <t>9.1138.1235.0</t>
        </is>
      </c>
      <c r="B117" s="158" t="inlineStr">
        <is>
          <t>22er Winkel-Luftanschluss (1x Pro Doppelanlage)</t>
        </is>
      </c>
      <c r="C117" s="67" t="inlineStr">
        <is>
          <t>stk.</t>
        </is>
      </c>
      <c r="D117" s="27" t="n"/>
      <c r="E117" s="61" t="n"/>
    </row>
    <row r="118">
      <c r="A118" s="66" t="inlineStr">
        <is>
          <t>9.1138.1054.0</t>
        </is>
      </c>
      <c r="B118" s="158" t="inlineStr">
        <is>
          <t>Reducer 14-10mm</t>
        </is>
      </c>
      <c r="C118" s="67" t="inlineStr">
        <is>
          <t>stk.</t>
        </is>
      </c>
      <c r="D118" s="27" t="n"/>
      <c r="E118" s="61" t="n"/>
    </row>
    <row r="119">
      <c r="A119" s="66" t="inlineStr">
        <is>
          <t>RMIQST220</t>
        </is>
      </c>
      <c r="B119" s="158" t="inlineStr">
        <is>
          <t>T-Stück 22-22-22</t>
        </is>
      </c>
      <c r="C119" s="67" t="inlineStr">
        <is>
          <t>stk.</t>
        </is>
      </c>
      <c r="D119" s="27" t="n"/>
      <c r="E119" s="61" t="n"/>
    </row>
    <row r="120">
      <c r="A120" s="66" t="inlineStr">
        <is>
          <t>ROIQSG220</t>
        </is>
      </c>
      <c r="B120" s="158" t="inlineStr">
        <is>
          <t>Gerader Steckanschluss / Verbinder 22mm</t>
        </is>
      </c>
      <c r="C120" s="67" t="inlineStr">
        <is>
          <t>stk.</t>
        </is>
      </c>
      <c r="D120" s="27" t="n"/>
      <c r="E120" s="61" t="n"/>
    </row>
    <row r="121">
      <c r="A121" s="66" t="inlineStr">
        <is>
          <t>ROIQSL220</t>
        </is>
      </c>
      <c r="B121" s="158" t="inlineStr">
        <is>
          <t>Winkel Steckanschluss 22mm</t>
        </is>
      </c>
      <c r="C121" s="67" t="inlineStr">
        <is>
          <t>stk.</t>
        </is>
      </c>
      <c r="D121" s="27" t="n"/>
      <c r="E121" s="61" t="n"/>
    </row>
    <row r="122">
      <c r="A122" s="66" t="inlineStr">
        <is>
          <t>5.1005.5036.0</t>
        </is>
      </c>
      <c r="B122" s="158" t="inlineStr">
        <is>
          <t>Verbinder 22-14 mm gerade</t>
        </is>
      </c>
      <c r="C122" s="67" t="inlineStr">
        <is>
          <t>stk.</t>
        </is>
      </c>
      <c r="D122" s="27" t="n"/>
      <c r="E122" s="61" t="n"/>
    </row>
    <row r="123">
      <c r="A123" s="63" t="n"/>
      <c r="B123" s="172" t="inlineStr">
        <is>
          <t xml:space="preserve">Sonstige Kupplungen </t>
        </is>
      </c>
      <c r="C123" s="68" t="n"/>
      <c r="D123" s="68" t="n"/>
      <c r="E123" s="69" t="n"/>
    </row>
    <row r="124">
      <c r="A124" s="54" t="inlineStr">
        <is>
          <t>9.1138.0322.3</t>
        </is>
      </c>
      <c r="B124" s="158" t="inlineStr">
        <is>
          <t>Steck-Schnellkupplung 4mm High</t>
        </is>
      </c>
      <c r="C124" s="21" t="inlineStr">
        <is>
          <t>stk.</t>
        </is>
      </c>
      <c r="D124" s="27" t="n"/>
      <c r="E124" s="61" t="n"/>
    </row>
    <row r="125">
      <c r="A125" s="54" t="inlineStr">
        <is>
          <t>9.1138.0323.4</t>
        </is>
      </c>
      <c r="B125" s="158" t="inlineStr">
        <is>
          <t>Steck-Schnellkupplung 4mm Low L</t>
        </is>
      </c>
      <c r="C125" s="21" t="inlineStr">
        <is>
          <t>stk.</t>
        </is>
      </c>
      <c r="D125" s="27" t="n"/>
      <c r="E125" s="61" t="n"/>
    </row>
    <row r="126">
      <c r="A126" s="54" t="inlineStr">
        <is>
          <t>9.1138.0324.5</t>
        </is>
      </c>
      <c r="B126" s="158" t="inlineStr">
        <is>
          <t>Steck-Schnellkupplung 6mm High</t>
        </is>
      </c>
      <c r="C126" s="21" t="inlineStr">
        <is>
          <t>stk.</t>
        </is>
      </c>
      <c r="D126" s="27" t="n"/>
      <c r="E126" s="61" t="n"/>
    </row>
    <row r="127">
      <c r="A127" s="82" t="inlineStr">
        <is>
          <t>9.1138.0325.6</t>
        </is>
      </c>
      <c r="B127" s="173" t="inlineStr">
        <is>
          <t>Steck-Schnellkupplung 6mm</t>
        </is>
      </c>
      <c r="C127" s="140" t="inlineStr">
        <is>
          <t>stk.</t>
        </is>
      </c>
      <c r="D127" s="141" t="n"/>
      <c r="E127" s="79" t="n"/>
    </row>
    <row r="128">
      <c r="A128" s="63" t="n"/>
      <c r="B128" s="172" t="inlineStr">
        <is>
          <t>I-Flow</t>
        </is>
      </c>
      <c r="C128" s="68" t="n"/>
      <c r="D128" s="68" t="n"/>
      <c r="E128" s="69" t="n"/>
    </row>
    <row r="129">
      <c r="A129" s="82" t="inlineStr">
        <is>
          <t>5.1004.5515.0</t>
        </is>
      </c>
      <c r="B129" s="173" t="inlineStr">
        <is>
          <t>Plate</t>
        </is>
      </c>
      <c r="C129" s="140" t="inlineStr">
        <is>
          <t>Stk.</t>
        </is>
      </c>
      <c r="D129" s="141" t="n"/>
      <c r="E129" s="79" t="n"/>
    </row>
    <row r="130">
      <c r="A130" s="82" t="inlineStr">
        <is>
          <t>9.1057.0443.0</t>
        </is>
      </c>
      <c r="B130" s="173" t="inlineStr">
        <is>
          <t>Roboterdach schraube</t>
        </is>
      </c>
      <c r="C130" s="140" t="inlineStr">
        <is>
          <t>Stk.</t>
        </is>
      </c>
      <c r="D130" s="141" t="n"/>
      <c r="E130" s="79" t="n"/>
    </row>
    <row r="131">
      <c r="A131" s="82" t="inlineStr">
        <is>
          <t>9.1113.0477.4</t>
        </is>
      </c>
      <c r="B131" s="173" t="inlineStr">
        <is>
          <t>M12x20 DIN933-A2-70 s/s</t>
        </is>
      </c>
      <c r="C131" s="140" t="inlineStr">
        <is>
          <t>Stk.</t>
        </is>
      </c>
      <c r="D131" s="141" t="n"/>
      <c r="E131" s="79" t="n"/>
    </row>
    <row r="132" ht="18" customHeight="1" s="195">
      <c r="A132" s="82" t="inlineStr">
        <is>
          <t>9.1113.0523.4</t>
        </is>
      </c>
      <c r="B132" s="173" t="inlineStr">
        <is>
          <t>M10x20 DIN933-A2-2 s/s</t>
        </is>
      </c>
      <c r="C132" s="140" t="inlineStr">
        <is>
          <t>Stk.</t>
        </is>
      </c>
      <c r="D132" s="141" t="n"/>
      <c r="E132" s="79" t="n"/>
    </row>
    <row r="133">
      <c r="A133" s="82" t="inlineStr">
        <is>
          <t>9.1113.0475.2</t>
        </is>
      </c>
      <c r="B133" s="173" t="inlineStr">
        <is>
          <t>M8x60 DIN931-A2-70 s/s</t>
        </is>
      </c>
      <c r="C133" s="140" t="inlineStr">
        <is>
          <t>Stk.</t>
        </is>
      </c>
      <c r="D133" s="141" t="n"/>
      <c r="E133" s="79" t="n"/>
    </row>
    <row r="134">
      <c r="A134" s="82" t="inlineStr">
        <is>
          <t>9.1058.0104.0</t>
        </is>
      </c>
      <c r="B134" s="173" t="inlineStr">
        <is>
          <t>M10 x 70 DIN603 A2-2 S/S</t>
        </is>
      </c>
      <c r="C134" s="140" t="inlineStr">
        <is>
          <t>Stk.</t>
        </is>
      </c>
      <c r="D134" s="141" t="n"/>
      <c r="E134" s="79" t="n"/>
    </row>
    <row r="135">
      <c r="A135" s="82" t="inlineStr">
        <is>
          <t>9.1058.0100.0</t>
        </is>
      </c>
      <c r="B135" s="173" t="inlineStr">
        <is>
          <t>M10x65 DIN603-A2-2 s/s</t>
        </is>
      </c>
      <c r="C135" s="140" t="inlineStr">
        <is>
          <t>Stk.</t>
        </is>
      </c>
      <c r="D135" s="141" t="n"/>
      <c r="E135" s="79" t="n"/>
    </row>
    <row r="136">
      <c r="A136" s="82" t="inlineStr">
        <is>
          <t>9.1058.0108.0</t>
        </is>
      </c>
      <c r="B136" s="173" t="inlineStr">
        <is>
          <t>M16 x 150 (Eingangstor)</t>
        </is>
      </c>
      <c r="C136" s="140" t="inlineStr">
        <is>
          <t>Stk.</t>
        </is>
      </c>
      <c r="D136" s="141" t="n"/>
      <c r="E136" s="79" t="n"/>
    </row>
    <row r="137" ht="18" customHeight="1" s="195">
      <c r="A137" s="82" t="inlineStr">
        <is>
          <t>9.1030.0034.4</t>
        </is>
      </c>
      <c r="B137" s="173" t="inlineStr">
        <is>
          <t>Mutter M16</t>
        </is>
      </c>
      <c r="C137" s="140" t="inlineStr">
        <is>
          <t>Stk.</t>
        </is>
      </c>
      <c r="D137" s="141" t="n"/>
      <c r="E137" s="79" t="n"/>
    </row>
    <row r="138">
      <c r="A138" s="82" t="inlineStr">
        <is>
          <t>9.1057.0128.1</t>
        </is>
      </c>
      <c r="B138" s="173" t="inlineStr">
        <is>
          <t>M16 x 50 (Zylinder)</t>
        </is>
      </c>
      <c r="C138" s="140" t="inlineStr">
        <is>
          <t>Stk.</t>
        </is>
      </c>
      <c r="D138" s="141" t="n"/>
      <c r="E138" s="79" t="n"/>
    </row>
    <row r="139">
      <c r="A139" s="63" t="n"/>
      <c r="B139" s="172" t="inlineStr">
        <is>
          <t>Milk for Use</t>
        </is>
      </c>
      <c r="C139" s="68" t="n"/>
      <c r="D139" s="68" t="n"/>
      <c r="E139" s="69" t="n"/>
    </row>
    <row r="140">
      <c r="A140" s="82" t="inlineStr">
        <is>
          <t>FE184362</t>
        </is>
      </c>
      <c r="B140" s="173" t="inlineStr">
        <is>
          <t>Flexibles Isolierrohr FBY-EL-F</t>
        </is>
      </c>
      <c r="C140" s="140" t="inlineStr">
        <is>
          <t>lfm.</t>
        </is>
      </c>
      <c r="D140" s="141" t="n"/>
      <c r="E140" s="79" t="inlineStr">
        <is>
          <t>1 Bund = 50m</t>
        </is>
      </c>
    </row>
    <row r="141">
      <c r="A141" s="82" t="inlineStr">
        <is>
          <t>5.1001.6659.0</t>
        </is>
      </c>
      <c r="B141" s="173" t="inlineStr">
        <is>
          <t>Kupplungsstück</t>
        </is>
      </c>
      <c r="C141" s="140" t="inlineStr">
        <is>
          <t>stk.</t>
        </is>
      </c>
      <c r="D141" s="141" t="n"/>
      <c r="E141" s="79" t="n"/>
    </row>
    <row r="142">
      <c r="A142" t="inlineStr">
        <is>
          <t>5.1005.6099.0</t>
        </is>
      </c>
      <c r="B142" t="inlineStr">
        <is>
          <t>CAN-Kabel 7m (Schwarz)</t>
        </is>
      </c>
      <c r="C142" t="inlineStr">
        <is>
          <t>stk.</t>
        </is>
      </c>
    </row>
    <row r="143">
      <c r="A143" t="inlineStr">
        <is>
          <t>5.1005.5866.0</t>
        </is>
      </c>
      <c r="B143" t="inlineStr">
        <is>
          <t>CAN-Kabel 15m (Violette)</t>
        </is>
      </c>
      <c r="C143" t="inlineStr">
        <is>
          <t>stk.</t>
        </is>
      </c>
    </row>
    <row r="144">
      <c r="A144" s="63" t="n"/>
      <c r="B144" s="172" t="inlineStr">
        <is>
          <t>Sep+Texastore</t>
        </is>
      </c>
      <c r="C144" s="68" t="n"/>
      <c r="D144" s="68" t="n"/>
      <c r="E144" s="69" t="n"/>
    </row>
    <row r="145">
      <c r="A145" t="inlineStr">
        <is>
          <t>9.1138.1072.0</t>
        </is>
      </c>
      <c r="B145" t="inlineStr">
        <is>
          <t>Luftventil</t>
        </is>
      </c>
      <c r="C145" t="inlineStr">
        <is>
          <t>stk.</t>
        </is>
      </c>
    </row>
    <row r="146">
      <c r="A146" t="inlineStr">
        <is>
          <t>9.1038.0024.0</t>
        </is>
      </c>
      <c r="B146" t="inlineStr">
        <is>
          <t>Gabel</t>
        </is>
      </c>
      <c r="C146" t="inlineStr">
        <is>
          <t>stk.</t>
        </is>
      </c>
    </row>
    <row r="147">
      <c r="A147" t="inlineStr">
        <is>
          <t>9.1038.0023.6</t>
        </is>
      </c>
      <c r="B147" t="inlineStr">
        <is>
          <t>Gabel</t>
        </is>
      </c>
      <c r="C147" t="inlineStr">
        <is>
          <t>stk.</t>
        </is>
      </c>
    </row>
    <row r="148" ht="18" customHeight="1" s="195">
      <c r="A148" t="inlineStr">
        <is>
          <t>9.1119.0057.0</t>
        </is>
      </c>
      <c r="B148" t="inlineStr">
        <is>
          <t>Sicherungsring</t>
        </is>
      </c>
      <c r="C148" t="inlineStr">
        <is>
          <t>stk.</t>
        </is>
      </c>
    </row>
    <row r="149">
      <c r="A149" t="inlineStr">
        <is>
          <t>0387000010</t>
        </is>
      </c>
      <c r="B149" t="inlineStr">
        <is>
          <t>Sperrzahnmutter M10</t>
        </is>
      </c>
      <c r="C149" t="inlineStr">
        <is>
          <t>stk.</t>
        </is>
      </c>
    </row>
    <row r="150">
      <c r="A150" t="inlineStr">
        <is>
          <t>022610 80</t>
        </is>
      </c>
      <c r="B150" t="inlineStr">
        <is>
          <t>Flachrundschraube M10x80</t>
        </is>
      </c>
      <c r="C150" t="inlineStr">
        <is>
          <t>stk.</t>
        </is>
      </c>
    </row>
  </sheetData>
  <mergeCells count="2">
    <mergeCell ref="C1:D1"/>
    <mergeCell ref="A1:B1"/>
  </mergeCells>
  <conditionalFormatting sqref="A6:E171">
    <cfRule type="expression" priority="1" dxfId="1">
      <formula>AND(ISNUMBER($D6),$D6&gt;0)</formula>
    </cfRule>
  </conditionalFormatting>
  <dataValidations count="1">
    <dataValidation sqref="B2" showDropDown="0" showInputMessage="1" showErrorMessage="1" allowBlank="1" errorTitle="Ungültige Eingabe" error="Bitte einen Techniker aus der Liste wählen." promptTitle="Einbauer" prompt="Bitte Techniker auswählen" type="list">
      <formula1>SeznamMonteru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:B1"/>
    </sheetView>
  </sheetViews>
  <sheetFormatPr baseColWidth="8" defaultRowHeight="14.25"/>
  <cols>
    <col width="25.86328125" customWidth="1" style="195" min="1" max="1"/>
    <col width="40.86328125" customWidth="1" style="195" min="2" max="2"/>
    <col width="12.86328125" customWidth="1" style="195" min="3" max="3"/>
    <col width="17.59765625" customWidth="1" style="195" min="4" max="4"/>
    <col width="30" customWidth="1" style="195" min="5" max="5"/>
  </cols>
  <sheetData>
    <row r="1" ht="28.5" customHeight="1" s="195">
      <c r="A1" s="196" t="inlineStr">
        <is>
          <t>KDW Bestellformular Einbau</t>
        </is>
      </c>
      <c r="B1" s="197" t="n"/>
      <c r="C1" s="194" t="inlineStr">
        <is>
          <t>Version Juli 2026</t>
        </is>
      </c>
    </row>
    <row r="2" ht="15.75" customHeight="1" s="195">
      <c r="A2" s="2" t="inlineStr">
        <is>
          <t>Einbauer</t>
        </is>
      </c>
      <c r="B2" s="148">
        <f>Grundmaterial!B2</f>
        <v/>
      </c>
      <c r="C2" s="3" t="inlineStr">
        <is>
          <t>Lagerort</t>
        </is>
      </c>
      <c r="D2" s="4">
        <f>IFERROR(INDEX('Legende Techniker'!$B$2:$B$50,MATCH($B$2,'Legende Techniker'!$A$2:$A$50,0)),"")</f>
        <v/>
      </c>
    </row>
    <row r="3" ht="15.75" customHeight="1" s="195">
      <c r="A3" s="5" t="inlineStr">
        <is>
          <t>Datum</t>
        </is>
      </c>
      <c r="B3" s="149">
        <f>Grundmaterial!B3</f>
        <v/>
      </c>
      <c r="C3" s="6" t="inlineStr">
        <is>
          <t>Kostenstelle</t>
        </is>
      </c>
      <c r="D3" s="4">
        <f>IFERROR(INDEX('Legende Techniker'!$C$2:$C$50,MATCH($B$2,'Legende Techniker'!$A$2:$A$50,0)),"")</f>
        <v/>
      </c>
    </row>
    <row r="4" ht="15" customHeight="1" s="195">
      <c r="A4" s="7" t="n"/>
      <c r="B4" s="8" t="n"/>
      <c r="C4" s="9" t="n"/>
      <c r="D4" s="10" t="n"/>
    </row>
    <row r="5" ht="18" customHeight="1" s="195">
      <c r="A5" s="11" t="inlineStr">
        <is>
          <t>Artikelnummer</t>
        </is>
      </c>
      <c r="B5" s="150" t="inlineStr">
        <is>
          <t>Artikelbezeichnung</t>
        </is>
      </c>
      <c r="C5" s="12" t="inlineStr">
        <is>
          <t>Einheit</t>
        </is>
      </c>
      <c r="D5" s="13" t="inlineStr">
        <is>
          <t>Bestellmenge</t>
        </is>
      </c>
      <c r="E5" s="14" t="inlineStr">
        <is>
          <t>zusätzliche Infos:</t>
        </is>
      </c>
    </row>
    <row r="6" ht="36" customHeight="1" s="195">
      <c r="A6" s="71" t="n"/>
      <c r="B6" s="144" t="inlineStr">
        <is>
          <t>Sechskantschraube DIN 933, Edelstahl A2 (blank, Vollgewinde)</t>
        </is>
      </c>
      <c r="C6" s="72" t="n"/>
      <c r="D6" s="73" t="n"/>
      <c r="E6" s="74" t="n"/>
    </row>
    <row r="7" ht="15" customHeight="1" s="195">
      <c r="A7" s="75" t="inlineStr">
        <is>
          <t>00965 20</t>
        </is>
      </c>
      <c r="B7" s="174" t="inlineStr">
        <is>
          <t>M5 x 20</t>
        </is>
      </c>
      <c r="C7" s="51" t="inlineStr">
        <is>
          <t>Pack</t>
        </is>
      </c>
      <c r="D7" s="28" t="n"/>
      <c r="E7" s="61" t="n"/>
    </row>
    <row r="8" ht="15" customHeight="1" s="195">
      <c r="A8" s="75" t="inlineStr">
        <is>
          <t>00965 30</t>
        </is>
      </c>
      <c r="B8" s="174" t="inlineStr">
        <is>
          <t>M5 x 30</t>
        </is>
      </c>
      <c r="C8" s="51" t="inlineStr">
        <is>
          <t>Pack</t>
        </is>
      </c>
      <c r="D8" s="28" t="n"/>
      <c r="E8" s="61" t="n"/>
    </row>
    <row r="9" ht="15" customHeight="1" s="195">
      <c r="A9" s="75" t="inlineStr">
        <is>
          <t>00965 60</t>
        </is>
      </c>
      <c r="B9" s="174" t="inlineStr">
        <is>
          <t>M5 x 60</t>
        </is>
      </c>
      <c r="C9" s="51" t="inlineStr">
        <is>
          <t>Pack</t>
        </is>
      </c>
      <c r="D9" s="28" t="n"/>
      <c r="E9" s="61" t="n"/>
    </row>
    <row r="10" ht="15" customHeight="1" s="195">
      <c r="A10" s="75" t="inlineStr">
        <is>
          <t>00965 70</t>
        </is>
      </c>
      <c r="B10" s="174" t="inlineStr">
        <is>
          <t>M5 x 70</t>
        </is>
      </c>
      <c r="C10" s="51" t="inlineStr">
        <is>
          <t>Pack</t>
        </is>
      </c>
      <c r="D10" s="28" t="n"/>
      <c r="E10" s="61" t="n"/>
    </row>
    <row r="11" ht="15" customHeight="1" s="195">
      <c r="A11" s="75" t="inlineStr">
        <is>
          <t>00966 30</t>
        </is>
      </c>
      <c r="B11" s="175" t="inlineStr">
        <is>
          <t>M6 x 30</t>
        </is>
      </c>
      <c r="C11" s="51" t="inlineStr">
        <is>
          <t>Pack</t>
        </is>
      </c>
      <c r="D11" s="28" t="n"/>
      <c r="E11" s="61" t="n"/>
    </row>
    <row r="12" ht="15" customHeight="1" s="195">
      <c r="A12" s="75" t="inlineStr">
        <is>
          <t>00966 50</t>
        </is>
      </c>
      <c r="B12" s="175" t="inlineStr">
        <is>
          <t>M6 x 50</t>
        </is>
      </c>
      <c r="C12" s="51" t="inlineStr">
        <is>
          <t>Pack</t>
        </is>
      </c>
      <c r="D12" s="28" t="n"/>
      <c r="E12" s="61" t="n"/>
    </row>
    <row r="13" ht="15" customHeight="1" s="195">
      <c r="A13" s="75" t="inlineStr">
        <is>
          <t>00966 80</t>
        </is>
      </c>
      <c r="B13" s="175" t="inlineStr">
        <is>
          <t>M6 x 80</t>
        </is>
      </c>
      <c r="C13" s="51" t="inlineStr">
        <is>
          <t>Pack</t>
        </is>
      </c>
      <c r="D13" s="28" t="n"/>
      <c r="E13" s="61" t="n"/>
    </row>
    <row r="14" ht="15" customHeight="1" s="195">
      <c r="A14" s="75" t="inlineStr">
        <is>
          <t>00966 100</t>
        </is>
      </c>
      <c r="B14" s="175" t="inlineStr">
        <is>
          <t>M6 x 100</t>
        </is>
      </c>
      <c r="C14" s="51" t="inlineStr">
        <is>
          <t>Pack</t>
        </is>
      </c>
      <c r="D14" s="28" t="n"/>
      <c r="E14" s="61" t="n"/>
    </row>
    <row r="15" ht="15" customHeight="1" s="195">
      <c r="A15" s="75" t="inlineStr">
        <is>
          <t>00968 30</t>
        </is>
      </c>
      <c r="B15" s="176" t="inlineStr">
        <is>
          <t>M8 x 30</t>
        </is>
      </c>
      <c r="C15" s="51" t="inlineStr">
        <is>
          <t>Pack</t>
        </is>
      </c>
      <c r="D15" s="28" t="n"/>
      <c r="E15" s="61" t="n"/>
    </row>
    <row r="16" ht="15" customHeight="1" s="195">
      <c r="A16" s="75" t="inlineStr">
        <is>
          <t>00968 35</t>
        </is>
      </c>
      <c r="B16" s="175" t="inlineStr">
        <is>
          <t>M8 x 35</t>
        </is>
      </c>
      <c r="C16" s="51" t="inlineStr">
        <is>
          <t>Pack</t>
        </is>
      </c>
      <c r="D16" s="28" t="n"/>
      <c r="E16" s="61" t="n"/>
    </row>
    <row r="17" ht="15" customHeight="1" s="195">
      <c r="A17" s="75" t="inlineStr">
        <is>
          <t>00968 60</t>
        </is>
      </c>
      <c r="B17" s="175" t="inlineStr">
        <is>
          <t>M8 x 60</t>
        </is>
      </c>
      <c r="C17" s="51" t="inlineStr">
        <is>
          <t>Pack</t>
        </is>
      </c>
      <c r="D17" s="28" t="n"/>
      <c r="E17" s="61" t="n"/>
    </row>
    <row r="18" ht="15" customHeight="1" s="195">
      <c r="A18" s="75" t="inlineStr">
        <is>
          <t>00968 70</t>
        </is>
      </c>
      <c r="B18" s="175" t="inlineStr">
        <is>
          <t>M8 x 70</t>
        </is>
      </c>
      <c r="C18" s="51" t="inlineStr">
        <is>
          <t>Pack</t>
        </is>
      </c>
      <c r="D18" s="28" t="n"/>
      <c r="E18" s="61" t="n"/>
    </row>
    <row r="19" ht="15" customHeight="1" s="195">
      <c r="A19" s="75" t="inlineStr">
        <is>
          <t>00968 100</t>
        </is>
      </c>
      <c r="B19" s="176" t="inlineStr">
        <is>
          <t>M8 x 100</t>
        </is>
      </c>
      <c r="C19" s="76" t="inlineStr">
        <is>
          <t>Pack</t>
        </is>
      </c>
      <c r="D19" s="28" t="n"/>
      <c r="E19" s="61" t="n"/>
    </row>
    <row r="20" ht="15" customHeight="1" s="195">
      <c r="A20" s="75" t="inlineStr">
        <is>
          <t>009610 30</t>
        </is>
      </c>
      <c r="B20" s="176" t="inlineStr">
        <is>
          <t>M10 x 30</t>
        </is>
      </c>
      <c r="C20" s="76" t="inlineStr">
        <is>
          <t>Pack</t>
        </is>
      </c>
      <c r="D20" s="28" t="n"/>
      <c r="E20" s="61" t="n"/>
    </row>
    <row r="21" ht="15" customHeight="1" s="195">
      <c r="A21" s="75" t="inlineStr">
        <is>
          <t>009610 50</t>
        </is>
      </c>
      <c r="B21" s="177" t="inlineStr">
        <is>
          <t>M10 x 50</t>
        </is>
      </c>
      <c r="C21" s="51" t="inlineStr">
        <is>
          <t>Pack</t>
        </is>
      </c>
      <c r="D21" s="28" t="n"/>
      <c r="E21" s="61" t="n"/>
    </row>
    <row r="22" ht="15" customHeight="1" s="195">
      <c r="A22" s="75" t="inlineStr">
        <is>
          <t>009610 100</t>
        </is>
      </c>
      <c r="B22" s="175" t="inlineStr">
        <is>
          <t>M10 x 100</t>
        </is>
      </c>
      <c r="C22" s="51" t="inlineStr">
        <is>
          <t>Pack</t>
        </is>
      </c>
      <c r="D22" s="28" t="n"/>
      <c r="E22" s="61" t="n"/>
    </row>
    <row r="23" ht="15" customHeight="1" s="195">
      <c r="A23" s="75" t="inlineStr">
        <is>
          <t>009612 60</t>
        </is>
      </c>
      <c r="B23" s="175" t="inlineStr">
        <is>
          <t>M12 x 60</t>
        </is>
      </c>
      <c r="C23" s="51" t="inlineStr">
        <is>
          <t>Pack</t>
        </is>
      </c>
      <c r="D23" s="28" t="n"/>
      <c r="E23" s="61" t="n"/>
    </row>
    <row r="24" ht="15" customHeight="1" s="195">
      <c r="A24" s="77" t="inlineStr">
        <is>
          <t>009612 100</t>
        </is>
      </c>
      <c r="B24" s="178" t="inlineStr">
        <is>
          <t>M12 x 100</t>
        </is>
      </c>
      <c r="C24" s="78" t="inlineStr">
        <is>
          <t>Pack</t>
        </is>
      </c>
      <c r="D24" s="28" t="n"/>
      <c r="E24" s="79" t="n"/>
    </row>
    <row r="25" ht="36" customHeight="1" s="195">
      <c r="A25" s="80" t="n"/>
      <c r="B25" s="145" t="inlineStr">
        <is>
          <t>Holzschraube 6KT, Edelstahl A2, blank (Sechskantkopf)</t>
        </is>
      </c>
      <c r="C25" s="72" t="n"/>
      <c r="D25" s="73" t="n"/>
      <c r="E25" s="74" t="n"/>
    </row>
    <row r="26" ht="15" customHeight="1" s="195">
      <c r="A26" s="49" t="inlineStr">
        <is>
          <t>01936 80</t>
        </is>
      </c>
      <c r="B26" s="174" t="inlineStr">
        <is>
          <t>6 x 80</t>
        </is>
      </c>
      <c r="C26" s="51" t="inlineStr">
        <is>
          <t>Pack</t>
        </is>
      </c>
      <c r="D26" s="28" t="n"/>
      <c r="E26" s="61" t="n"/>
    </row>
    <row r="27" ht="15" customHeight="1" s="195">
      <c r="A27" s="49" t="inlineStr">
        <is>
          <t>01936 120</t>
        </is>
      </c>
      <c r="B27" s="174" t="inlineStr">
        <is>
          <t>6 x 120</t>
        </is>
      </c>
      <c r="C27" s="51" t="inlineStr">
        <is>
          <t>Pack</t>
        </is>
      </c>
      <c r="D27" s="28" t="n"/>
      <c r="E27" s="61" t="n"/>
    </row>
    <row r="28" ht="36" customHeight="1" s="195">
      <c r="A28" s="49" t="inlineStr">
        <is>
          <t>01938 35</t>
        </is>
      </c>
      <c r="B28" s="175" t="inlineStr">
        <is>
          <t>8 x 35</t>
        </is>
      </c>
      <c r="C28" s="51" t="inlineStr">
        <is>
          <t>Pack</t>
        </is>
      </c>
      <c r="D28" s="83" t="n"/>
      <c r="E28" s="84" t="n"/>
    </row>
    <row r="29" ht="15" customHeight="1" s="195">
      <c r="A29" s="50" t="inlineStr">
        <is>
          <t>01938 60</t>
        </is>
      </c>
      <c r="B29" s="176" t="inlineStr">
        <is>
          <t>8 x 60</t>
        </is>
      </c>
      <c r="C29" s="26" t="inlineStr">
        <is>
          <t>Pack</t>
        </is>
      </c>
      <c r="D29" s="28" t="n"/>
      <c r="E29" s="61" t="n"/>
    </row>
    <row r="30" ht="15" customHeight="1" s="195">
      <c r="A30" s="50" t="inlineStr">
        <is>
          <t>01938 80</t>
        </is>
      </c>
      <c r="B30" s="176" t="inlineStr">
        <is>
          <t>8 x 80</t>
        </is>
      </c>
      <c r="C30" s="26" t="inlineStr">
        <is>
          <t>Pack</t>
        </is>
      </c>
      <c r="D30" s="28" t="n"/>
      <c r="E30" s="61" t="n"/>
    </row>
    <row r="31" ht="15" customHeight="1" s="195">
      <c r="A31" s="49" t="inlineStr">
        <is>
          <t>01938 120</t>
        </is>
      </c>
      <c r="B31" s="179" t="inlineStr">
        <is>
          <t>8 x 120</t>
        </is>
      </c>
      <c r="C31" s="56" t="inlineStr">
        <is>
          <t>Pack</t>
        </is>
      </c>
      <c r="D31" s="85" t="n"/>
      <c r="E31" s="86" t="n"/>
    </row>
    <row r="32" ht="15" customHeight="1" s="195">
      <c r="A32" s="49" t="inlineStr">
        <is>
          <t>01938 140</t>
        </is>
      </c>
      <c r="B32" s="176" t="inlineStr">
        <is>
          <t>8 x 140</t>
        </is>
      </c>
      <c r="C32" s="26" t="inlineStr">
        <is>
          <t>Pack</t>
        </is>
      </c>
      <c r="D32" s="28" t="n"/>
      <c r="E32" s="61" t="n"/>
    </row>
    <row r="33" ht="15" customHeight="1" s="195">
      <c r="A33" s="49" t="inlineStr">
        <is>
          <t>019310 80</t>
        </is>
      </c>
      <c r="B33" s="176" t="inlineStr">
        <is>
          <t>10 x 80</t>
        </is>
      </c>
      <c r="C33" s="26" t="inlineStr">
        <is>
          <t>Pack</t>
        </is>
      </c>
      <c r="D33" s="28" t="n"/>
      <c r="E33" s="61" t="n"/>
    </row>
    <row r="34" ht="15" customHeight="1" s="195">
      <c r="A34" s="87" t="inlineStr">
        <is>
          <t>019310 100</t>
        </is>
      </c>
      <c r="B34" s="180" t="inlineStr">
        <is>
          <t>10 x 100</t>
        </is>
      </c>
      <c r="C34" s="88" t="inlineStr">
        <is>
          <t>Pack</t>
        </is>
      </c>
      <c r="D34" s="28" t="n"/>
      <c r="E34" s="89" t="n"/>
    </row>
    <row r="35" ht="15" customHeight="1" s="195">
      <c r="A35" s="105" t="n"/>
      <c r="B35" s="184" t="inlineStr">
        <is>
          <t>Spannplattenschrauben Easy classic</t>
        </is>
      </c>
      <c r="C35" s="106" t="n"/>
      <c r="D35" s="107" t="n"/>
      <c r="E35" s="108" t="n"/>
    </row>
    <row r="36" ht="15" customHeight="1" s="195">
      <c r="A36" s="54" t="inlineStr">
        <is>
          <t>0153750030</t>
        </is>
      </c>
      <c r="B36" s="176" t="inlineStr">
        <is>
          <t>5 x 30</t>
        </is>
      </c>
      <c r="C36" s="26" t="inlineStr">
        <is>
          <t>Pack</t>
        </is>
      </c>
      <c r="D36" s="83" t="n"/>
      <c r="E36" s="61" t="n"/>
    </row>
    <row r="37" ht="15" customHeight="1" s="195">
      <c r="A37" s="54" t="inlineStr">
        <is>
          <t>0153750050</t>
        </is>
      </c>
      <c r="B37" s="176" t="inlineStr">
        <is>
          <t>5 x 50</t>
        </is>
      </c>
      <c r="C37" s="26" t="inlineStr">
        <is>
          <t>Pack</t>
        </is>
      </c>
      <c r="D37" s="83" t="n"/>
      <c r="E37" s="61" t="n"/>
    </row>
    <row r="38" ht="36" customHeight="1" s="195">
      <c r="A38" s="54" t="inlineStr">
        <is>
          <t>0153750080</t>
        </is>
      </c>
      <c r="B38" s="176" t="inlineStr">
        <is>
          <t>5 x 80</t>
        </is>
      </c>
      <c r="C38" s="26" t="inlineStr">
        <is>
          <t>Pack</t>
        </is>
      </c>
      <c r="D38" s="83" t="n"/>
      <c r="E38" s="61" t="n"/>
    </row>
    <row r="39" ht="15" customHeight="1" s="195">
      <c r="A39" s="118" t="n"/>
      <c r="B39" s="144" t="inlineStr">
        <is>
          <t>Kunststoff-Allzweckdübel</t>
        </is>
      </c>
      <c r="C39" s="72" t="n"/>
      <c r="D39" s="73" t="n"/>
      <c r="E39" s="74" t="n"/>
    </row>
    <row r="40" ht="15" customHeight="1" s="195">
      <c r="A40" s="119" t="inlineStr">
        <is>
          <t>090600637</t>
        </is>
      </c>
      <c r="B40" s="183" t="inlineStr">
        <is>
          <t>6 x 38</t>
        </is>
      </c>
      <c r="C40" s="51" t="inlineStr">
        <is>
          <t>Pack</t>
        </is>
      </c>
      <c r="D40" s="28" t="n"/>
      <c r="E40" s="84" t="n"/>
    </row>
    <row r="41" ht="15" customHeight="1" s="195">
      <c r="A41" s="54" t="inlineStr">
        <is>
          <t>090600852</t>
        </is>
      </c>
      <c r="B41" s="176" t="inlineStr">
        <is>
          <t>8 x 51</t>
        </is>
      </c>
      <c r="C41" s="26" t="inlineStr">
        <is>
          <t>Pack</t>
        </is>
      </c>
      <c r="D41" s="28" t="n"/>
      <c r="E41" s="61" t="n"/>
    </row>
    <row r="42" ht="15" customHeight="1" s="195">
      <c r="A42" s="54" t="inlineStr">
        <is>
          <t>090601062</t>
        </is>
      </c>
      <c r="B42" s="176" t="inlineStr">
        <is>
          <t>10 x 61</t>
        </is>
      </c>
      <c r="C42" s="26" t="inlineStr">
        <is>
          <t>Pack</t>
        </is>
      </c>
      <c r="D42" s="28" t="n"/>
      <c r="E42" s="61" t="n"/>
    </row>
    <row r="43" ht="36" customHeight="1" s="195">
      <c r="A43" s="120" t="inlineStr">
        <is>
          <t>090601272</t>
        </is>
      </c>
      <c r="B43" s="186" t="inlineStr">
        <is>
          <t>12 x 71</t>
        </is>
      </c>
      <c r="C43" s="51" t="inlineStr">
        <is>
          <t>Pack</t>
        </is>
      </c>
      <c r="D43" s="83" t="n"/>
      <c r="E43" s="84" t="n"/>
    </row>
    <row r="44" ht="15" customHeight="1" s="195">
      <c r="A44" s="92" t="n"/>
      <c r="B44" s="145" t="inlineStr">
        <is>
          <t>Fixanker A4 Edelstahl (Schwerlastanker)</t>
        </is>
      </c>
      <c r="C44" s="93" t="n"/>
      <c r="D44" s="94" t="n"/>
      <c r="E44" s="95" t="n"/>
    </row>
    <row r="45" ht="15" customHeight="1" s="195">
      <c r="A45" s="54" t="inlineStr">
        <is>
          <t>5928410015</t>
        </is>
      </c>
      <c r="B45" s="176" t="inlineStr">
        <is>
          <t>10 x 95</t>
        </is>
      </c>
      <c r="C45" s="59" t="inlineStr">
        <is>
          <t>Pack</t>
        </is>
      </c>
      <c r="D45" s="28" t="n"/>
      <c r="E45" s="61" t="n"/>
    </row>
    <row r="46" ht="15" customHeight="1" s="195">
      <c r="A46" s="96" t="inlineStr">
        <is>
          <t>5928410030</t>
        </is>
      </c>
      <c r="B46" s="181" t="inlineStr">
        <is>
          <t>10 x 110 mm</t>
        </is>
      </c>
      <c r="C46" s="97" t="inlineStr">
        <is>
          <t>Pack</t>
        </is>
      </c>
      <c r="D46" s="85" t="n"/>
      <c r="E46" s="142" t="n"/>
    </row>
    <row r="47" ht="36" customHeight="1" s="195">
      <c r="A47" s="98" t="inlineStr">
        <is>
          <t>5928412030</t>
        </is>
      </c>
      <c r="B47" s="182" t="inlineStr">
        <is>
          <t>12 x 125 mm</t>
        </is>
      </c>
      <c r="C47" s="78" t="inlineStr">
        <is>
          <t>Pack</t>
        </is>
      </c>
      <c r="D47" s="28" t="n"/>
      <c r="E47" s="116" t="n"/>
    </row>
    <row r="48" ht="15" customHeight="1" s="195">
      <c r="A48" t="inlineStr">
        <is>
          <t>5928412050</t>
        </is>
      </c>
      <c r="B48" t="inlineStr">
        <is>
          <t>12 x 145 mm</t>
        </is>
      </c>
      <c r="C48" t="inlineStr">
        <is>
          <t>Pack</t>
        </is>
      </c>
    </row>
    <row r="49" ht="15" customHeight="1" s="195">
      <c r="A49" s="109" t="n"/>
      <c r="B49" s="143" t="inlineStr">
        <is>
          <t>Sechskantmutter DIN 934, Edelstahl A2, A2 blank</t>
        </is>
      </c>
      <c r="C49" s="110" t="n"/>
      <c r="D49" s="94" t="n"/>
      <c r="E49" s="111" t="n"/>
    </row>
    <row r="50" ht="15" customHeight="1" s="195">
      <c r="A50" s="112" t="inlineStr">
        <is>
          <t>03225</t>
        </is>
      </c>
      <c r="B50" s="179" t="inlineStr">
        <is>
          <t>M5</t>
        </is>
      </c>
      <c r="C50" s="56" t="inlineStr">
        <is>
          <t>Pack</t>
        </is>
      </c>
      <c r="D50" s="85" t="n"/>
      <c r="E50" s="86" t="n"/>
    </row>
    <row r="51" ht="15" customHeight="1" s="195">
      <c r="A51" s="54" t="inlineStr">
        <is>
          <t>03226</t>
        </is>
      </c>
      <c r="B51" s="176" t="inlineStr">
        <is>
          <t>M6</t>
        </is>
      </c>
      <c r="C51" s="26" t="inlineStr">
        <is>
          <t>Pack</t>
        </is>
      </c>
      <c r="D51" s="28" t="n"/>
      <c r="E51" s="61" t="n"/>
    </row>
    <row r="52" ht="15" customHeight="1" s="195">
      <c r="A52" s="70" t="inlineStr">
        <is>
          <t>03228</t>
        </is>
      </c>
      <c r="B52" s="181" t="inlineStr">
        <is>
          <t>M8</t>
        </is>
      </c>
      <c r="C52" s="97" t="inlineStr">
        <is>
          <t>Pack</t>
        </is>
      </c>
      <c r="D52" s="28" t="n"/>
      <c r="E52" s="113" t="n"/>
    </row>
    <row r="53" ht="15" customHeight="1" s="195">
      <c r="A53" s="54" t="inlineStr">
        <is>
          <t>032210</t>
        </is>
      </c>
      <c r="B53" s="176" t="inlineStr">
        <is>
          <t>M10</t>
        </is>
      </c>
      <c r="C53" s="26" t="inlineStr">
        <is>
          <t>Pack</t>
        </is>
      </c>
      <c r="D53" s="28" t="n"/>
      <c r="E53" s="61" t="n"/>
    </row>
    <row r="54" ht="15" customHeight="1" s="195">
      <c r="A54" s="54" t="inlineStr">
        <is>
          <t>032212</t>
        </is>
      </c>
      <c r="B54" s="176" t="inlineStr">
        <is>
          <t>M12</t>
        </is>
      </c>
      <c r="C54" s="26" t="inlineStr">
        <is>
          <t>Pack</t>
        </is>
      </c>
      <c r="D54" s="28" t="n"/>
      <c r="E54" s="61" t="n"/>
    </row>
    <row r="55" ht="15" customHeight="1" s="195">
      <c r="A55" s="54" t="inlineStr">
        <is>
          <t>032214</t>
        </is>
      </c>
      <c r="B55" s="176" t="inlineStr">
        <is>
          <t>M14</t>
        </is>
      </c>
      <c r="C55" s="26" t="inlineStr">
        <is>
          <t>Pack</t>
        </is>
      </c>
      <c r="D55" s="28" t="n"/>
      <c r="E55" s="61" t="n"/>
    </row>
    <row r="56" ht="15" customHeight="1" s="195">
      <c r="A56" s="82" t="inlineStr">
        <is>
          <t>032216</t>
        </is>
      </c>
      <c r="B56" s="185" t="inlineStr">
        <is>
          <t>M16</t>
        </is>
      </c>
      <c r="C56" s="78" t="inlineStr">
        <is>
          <t>Pack</t>
        </is>
      </c>
      <c r="D56" s="28" t="n"/>
      <c r="E56" s="79" t="n"/>
    </row>
    <row r="57" ht="15" customHeight="1" s="195">
      <c r="A57" s="114" t="n"/>
      <c r="B57" s="144" t="inlineStr">
        <is>
          <t>Sicherungs-Sechskantmutter DIN 985, Edelstahl A2</t>
        </is>
      </c>
      <c r="C57" s="72" t="n"/>
      <c r="D57" s="73" t="n"/>
      <c r="E57" s="81" t="n"/>
    </row>
    <row r="58" ht="51" customHeight="1" s="195">
      <c r="A58" s="66" t="inlineStr">
        <is>
          <t>03915</t>
        </is>
      </c>
      <c r="B58" s="183" t="inlineStr">
        <is>
          <t>M5</t>
        </is>
      </c>
      <c r="C58" s="51" t="inlineStr">
        <is>
          <t>Pack</t>
        </is>
      </c>
      <c r="D58" s="28" t="n"/>
      <c r="E58" s="61" t="n"/>
    </row>
    <row r="59" ht="15" customHeight="1" s="195">
      <c r="A59" s="66" t="inlineStr">
        <is>
          <t>03916</t>
        </is>
      </c>
      <c r="B59" s="183" t="inlineStr">
        <is>
          <t>M6</t>
        </is>
      </c>
      <c r="C59" s="51" t="inlineStr">
        <is>
          <t>Pack</t>
        </is>
      </c>
      <c r="D59" s="28" t="n"/>
      <c r="E59" s="61" t="n"/>
    </row>
    <row r="60" ht="15" customHeight="1" s="195">
      <c r="A60" s="66" t="inlineStr">
        <is>
          <t>03918</t>
        </is>
      </c>
      <c r="B60" s="183" t="inlineStr">
        <is>
          <t>M8</t>
        </is>
      </c>
      <c r="C60" s="51" t="inlineStr">
        <is>
          <t>Pack</t>
        </is>
      </c>
      <c r="D60" s="28" t="n"/>
      <c r="E60" s="61" t="n"/>
    </row>
    <row r="61" ht="15" customHeight="1" s="195">
      <c r="A61" s="66" t="inlineStr">
        <is>
          <t>039110</t>
        </is>
      </c>
      <c r="B61" s="183" t="inlineStr">
        <is>
          <t>M10</t>
        </is>
      </c>
      <c r="C61" s="51" t="inlineStr">
        <is>
          <t>Pack</t>
        </is>
      </c>
      <c r="D61" s="28" t="n"/>
      <c r="E61" s="61" t="n"/>
    </row>
    <row r="62" ht="15" customHeight="1" s="195">
      <c r="A62" s="66" t="inlineStr">
        <is>
          <t>039112</t>
        </is>
      </c>
      <c r="B62" s="183" t="inlineStr">
        <is>
          <t>M12</t>
        </is>
      </c>
      <c r="C62" s="51" t="inlineStr">
        <is>
          <t>Pack</t>
        </is>
      </c>
      <c r="D62" s="28" t="n"/>
      <c r="E62" s="61" t="n"/>
    </row>
    <row r="63" ht="15" customHeight="1" s="195">
      <c r="A63" s="66" t="inlineStr">
        <is>
          <t>039114</t>
        </is>
      </c>
      <c r="B63" s="183" t="inlineStr">
        <is>
          <t>M14</t>
        </is>
      </c>
      <c r="C63" s="51" t="inlineStr">
        <is>
          <t>Pack</t>
        </is>
      </c>
      <c r="D63" s="28" t="n"/>
      <c r="E63" s="61" t="n"/>
    </row>
    <row r="64" ht="15" customHeight="1" s="195">
      <c r="A64" s="98" t="inlineStr">
        <is>
          <t>039116</t>
        </is>
      </c>
      <c r="B64" s="182" t="inlineStr">
        <is>
          <t>M16</t>
        </is>
      </c>
      <c r="C64" s="78" t="inlineStr">
        <is>
          <t>Pack</t>
        </is>
      </c>
      <c r="D64" s="28" t="n"/>
      <c r="E64" s="79" t="n"/>
    </row>
    <row r="65" ht="15" customHeight="1" s="195">
      <c r="A65" s="114" t="n"/>
      <c r="B65" s="144" t="inlineStr">
        <is>
          <t>Kepsmutter Stahl, 8, verzinkt, mit Flansch</t>
        </is>
      </c>
      <c r="C65" s="72" t="n"/>
      <c r="D65" s="73" t="n"/>
      <c r="E65" s="81" t="n"/>
    </row>
    <row r="66" ht="36" customHeight="1" s="195">
      <c r="A66" s="66" t="inlineStr">
        <is>
          <t>0379206</t>
        </is>
      </c>
      <c r="B66" s="183" t="inlineStr">
        <is>
          <t>M6</t>
        </is>
      </c>
      <c r="C66" s="51" t="inlineStr">
        <is>
          <t>Pack</t>
        </is>
      </c>
      <c r="D66" s="28" t="n"/>
      <c r="E66" s="23" t="inlineStr">
        <is>
          <t>für Gitterrinnenplatten</t>
        </is>
      </c>
    </row>
    <row r="67" ht="15" customHeight="1" s="195">
      <c r="A67" s="66" t="inlineStr">
        <is>
          <t>0379208</t>
        </is>
      </c>
      <c r="B67" s="183" t="inlineStr">
        <is>
          <t>M8</t>
        </is>
      </c>
      <c r="C67" s="51" t="inlineStr">
        <is>
          <t>Pack</t>
        </is>
      </c>
      <c r="D67" s="28" t="n"/>
      <c r="E67" s="61" t="n"/>
    </row>
    <row r="68" ht="15" customHeight="1" s="195">
      <c r="A68" s="114" t="n"/>
      <c r="B68" s="144" t="inlineStr">
        <is>
          <t>Unterlegscheibe DIN 9021, Edelstahl A2, blank</t>
        </is>
      </c>
      <c r="C68" s="72" t="n"/>
      <c r="D68" s="73" t="n"/>
      <c r="E68" s="115" t="n"/>
    </row>
    <row r="69" ht="15" customHeight="1" s="195">
      <c r="A69" s="66" t="inlineStr">
        <is>
          <t>04196</t>
        </is>
      </c>
      <c r="B69" s="183" t="inlineStr">
        <is>
          <t>M6</t>
        </is>
      </c>
      <c r="C69" s="51" t="inlineStr">
        <is>
          <t>Pack</t>
        </is>
      </c>
      <c r="D69" s="28" t="n"/>
      <c r="E69" s="35" t="inlineStr">
        <is>
          <t>Innen ø: 6,4 mm / Außen: 18mm</t>
        </is>
      </c>
    </row>
    <row r="70" ht="15" customHeight="1" s="195">
      <c r="A70" s="66" t="inlineStr">
        <is>
          <t>04198</t>
        </is>
      </c>
      <c r="B70" s="183" t="inlineStr">
        <is>
          <t>M8</t>
        </is>
      </c>
      <c r="C70" s="51" t="inlineStr">
        <is>
          <t>Pack</t>
        </is>
      </c>
      <c r="D70" s="28" t="n"/>
      <c r="E70" s="35" t="inlineStr">
        <is>
          <t>Innen ø: 8,4 mm / Außen: 24mm</t>
        </is>
      </c>
    </row>
    <row r="71" ht="15" customHeight="1" s="195">
      <c r="A71" s="66" t="inlineStr">
        <is>
          <t>041910</t>
        </is>
      </c>
      <c r="B71" s="183" t="inlineStr">
        <is>
          <t>M10</t>
        </is>
      </c>
      <c r="C71" s="51" t="inlineStr">
        <is>
          <t>Pack</t>
        </is>
      </c>
      <c r="D71" s="28" t="n"/>
      <c r="E71" s="35" t="inlineStr">
        <is>
          <t>Innen ø: 10,5 mm / Außen: 30mm</t>
        </is>
      </c>
    </row>
    <row r="72" ht="15" customHeight="1" s="195">
      <c r="A72" s="98" t="inlineStr">
        <is>
          <t>0419612</t>
        </is>
      </c>
      <c r="B72" s="182" t="inlineStr">
        <is>
          <t>M12</t>
        </is>
      </c>
      <c r="C72" s="78" t="inlineStr">
        <is>
          <t>Pack</t>
        </is>
      </c>
      <c r="D72" s="28" t="n"/>
      <c r="E72" s="116" t="inlineStr">
        <is>
          <t>Innen ø: 13 mm / Außen: 37mm</t>
        </is>
      </c>
    </row>
    <row r="73" ht="15" customHeight="1" s="195">
      <c r="A73" s="114" t="n"/>
      <c r="B73" s="144" t="inlineStr">
        <is>
          <t>Puffertank</t>
        </is>
      </c>
      <c r="C73" s="72" t="n"/>
      <c r="D73" s="73" t="n"/>
      <c r="E73" s="115" t="n"/>
    </row>
    <row r="74" ht="36" customHeight="1" s="195">
      <c r="A74" s="66" t="inlineStr">
        <is>
          <t>0865208058</t>
        </is>
      </c>
      <c r="B74" s="183" t="inlineStr">
        <is>
          <t>Rohrschelle TIPP, Edelstahl A4, 2-teilig</t>
        </is>
      </c>
      <c r="C74" s="51" t="inlineStr">
        <is>
          <t>Stk.</t>
        </is>
      </c>
      <c r="D74" s="28" t="n"/>
      <c r="E74" s="35" t="inlineStr">
        <is>
          <t>M8, 53-58mm</t>
        </is>
      </c>
    </row>
    <row r="75" ht="15" customHeight="1" s="195">
      <c r="A75" s="66" t="inlineStr">
        <is>
          <t>0865540880</t>
        </is>
      </c>
      <c r="B75" s="183" t="inlineStr">
        <is>
          <t>Stockschraube, Edelstahl A2</t>
        </is>
      </c>
      <c r="C75" s="51" t="inlineStr">
        <is>
          <t>Stk.</t>
        </is>
      </c>
      <c r="D75" s="28" t="n"/>
      <c r="E75" s="35" t="inlineStr">
        <is>
          <t>M8 x 80</t>
        </is>
      </c>
    </row>
    <row r="76" ht="15" customHeight="1" s="195">
      <c r="A76" s="66" t="inlineStr">
        <is>
          <t>590621056</t>
        </is>
      </c>
      <c r="B76" s="183" t="inlineStr">
        <is>
          <t>Kunststoff-Allzweckdübel SHARK Pro</t>
        </is>
      </c>
      <c r="C76" s="51" t="inlineStr">
        <is>
          <t>Stk.</t>
        </is>
      </c>
      <c r="D76" s="28" t="n"/>
      <c r="E76" s="35" t="inlineStr">
        <is>
          <t>10 x 56</t>
        </is>
      </c>
    </row>
    <row r="77" ht="15" customHeight="1" s="195">
      <c r="A77" s="121" t="n"/>
      <c r="B77" s="187" t="inlineStr">
        <is>
          <t>Gewindestange Edelstahl</t>
        </is>
      </c>
      <c r="C77" s="122" t="n"/>
      <c r="D77" s="123" t="n"/>
      <c r="E77" s="124" t="n"/>
    </row>
    <row r="78" ht="15" customHeight="1" s="195">
      <c r="A78" s="54" t="inlineStr">
        <is>
          <t>09548</t>
        </is>
      </c>
      <c r="B78" s="176" t="inlineStr">
        <is>
          <t>M8</t>
        </is>
      </c>
      <c r="C78" s="26" t="inlineStr">
        <is>
          <t>Stk.</t>
        </is>
      </c>
      <c r="D78" s="125" t="n"/>
      <c r="E78" s="61" t="n"/>
    </row>
    <row r="79" ht="36" customHeight="1" s="195">
      <c r="A79" s="54" t="inlineStr">
        <is>
          <t>095410</t>
        </is>
      </c>
      <c r="B79" s="176" t="inlineStr">
        <is>
          <t>M10</t>
        </is>
      </c>
      <c r="C79" s="26" t="inlineStr">
        <is>
          <t>Stk.</t>
        </is>
      </c>
      <c r="D79" s="125" t="n"/>
      <c r="E79" s="61" t="n"/>
    </row>
    <row r="80" ht="15" customHeight="1" s="195">
      <c r="A80" s="54" t="inlineStr">
        <is>
          <t>095412</t>
        </is>
      </c>
      <c r="B80" s="176" t="inlineStr">
        <is>
          <t>M12</t>
        </is>
      </c>
      <c r="C80" s="51" t="inlineStr">
        <is>
          <t>Stk.</t>
        </is>
      </c>
      <c r="D80" s="125" t="n"/>
      <c r="E80" s="84" t="n"/>
    </row>
    <row r="81" ht="15" customHeight="1" s="195">
      <c r="A81" s="126" t="n"/>
      <c r="B81" s="143" t="inlineStr">
        <is>
          <t>Ankerstange Edelstahl A4</t>
        </is>
      </c>
      <c r="C81" s="122" t="n"/>
      <c r="D81" s="123" t="n"/>
      <c r="E81" s="124" t="n"/>
    </row>
    <row r="82" ht="15" customHeight="1" s="195">
      <c r="A82" s="54" t="inlineStr">
        <is>
          <t>0905470812</t>
        </is>
      </c>
      <c r="B82" s="176" t="inlineStr">
        <is>
          <t>8 x 110</t>
        </is>
      </c>
      <c r="C82" s="26" t="inlineStr">
        <is>
          <t>Stk.</t>
        </is>
      </c>
      <c r="D82" s="125" t="n"/>
      <c r="E82" s="61" t="n"/>
    </row>
    <row r="83" ht="15" customHeight="1" s="195">
      <c r="A83" s="70" t="inlineStr">
        <is>
          <t>0905471012</t>
        </is>
      </c>
      <c r="B83" s="176" t="inlineStr">
        <is>
          <t>10 x 130</t>
        </is>
      </c>
      <c r="C83" s="26" t="inlineStr">
        <is>
          <t>Stk.</t>
        </is>
      </c>
      <c r="D83" s="125" t="n"/>
      <c r="E83" s="61" t="n"/>
    </row>
    <row r="84" ht="15" customHeight="1" s="195">
      <c r="A84" s="54" t="inlineStr">
        <is>
          <t>0905471212</t>
        </is>
      </c>
      <c r="B84" s="176" t="inlineStr">
        <is>
          <t>12 x 160</t>
        </is>
      </c>
      <c r="C84" s="26" t="inlineStr">
        <is>
          <t>Stk.</t>
        </is>
      </c>
      <c r="D84" s="125" t="n"/>
      <c r="E84" s="61" t="n"/>
    </row>
    <row r="85" ht="36" customHeight="1" s="195">
      <c r="A85" s="54" t="n"/>
      <c r="B85" s="188" t="inlineStr">
        <is>
          <t>Siebhülse für Injektionssysteme</t>
        </is>
      </c>
      <c r="C85" s="21" t="n"/>
      <c r="D85" s="125" t="n"/>
      <c r="E85" s="61" t="n"/>
    </row>
    <row r="86" ht="15" customHeight="1" s="195">
      <c r="A86" s="54" t="inlineStr">
        <is>
          <t>090344 123</t>
        </is>
      </c>
      <c r="B86" s="176" t="inlineStr">
        <is>
          <t>12 x 50</t>
        </is>
      </c>
      <c r="C86" s="26" t="inlineStr">
        <is>
          <t>Stk.</t>
        </is>
      </c>
      <c r="D86" s="125" t="n"/>
      <c r="E86" s="61" t="n"/>
    </row>
    <row r="87" ht="15" customHeight="1" s="195">
      <c r="A87" s="54" t="inlineStr">
        <is>
          <t>090344 164</t>
        </is>
      </c>
      <c r="B87" s="176" t="inlineStr">
        <is>
          <t>16 x 85</t>
        </is>
      </c>
      <c r="C87" s="26" t="inlineStr">
        <is>
          <t>Stk.</t>
        </is>
      </c>
      <c r="D87" s="125" t="n"/>
      <c r="E87" s="61" t="n"/>
    </row>
    <row r="88" ht="15" customHeight="1" s="195">
      <c r="A88" s="120" t="inlineStr">
        <is>
          <t>090344 203</t>
        </is>
      </c>
      <c r="B88" s="186" t="inlineStr">
        <is>
          <t>20 x 85</t>
        </is>
      </c>
      <c r="C88" s="51" t="inlineStr">
        <is>
          <t>Stk.</t>
        </is>
      </c>
      <c r="D88" s="125" t="n"/>
      <c r="E88" s="84" t="n"/>
    </row>
    <row r="89" ht="15" customHeight="1" s="195">
      <c r="A89" s="54" t="n"/>
      <c r="B89" s="188" t="inlineStr">
        <is>
          <t>Injektionsmörtel Allrounder</t>
        </is>
      </c>
      <c r="C89" s="21" t="n"/>
      <c r="D89" s="125" t="n"/>
      <c r="E89" s="61" t="n"/>
    </row>
    <row r="90" ht="15" customHeight="1" s="195">
      <c r="A90" s="54" t="inlineStr">
        <is>
          <t>0903450208</t>
        </is>
      </c>
      <c r="B90" s="176" t="inlineStr">
        <is>
          <t>300ml</t>
        </is>
      </c>
      <c r="C90" s="26" t="inlineStr">
        <is>
          <t>Stk.</t>
        </is>
      </c>
      <c r="D90" s="125" t="n"/>
      <c r="E90" s="61" t="inlineStr">
        <is>
          <t>Mischrohr ist bereits enthalten – nicht separat bestellen</t>
        </is>
      </c>
    </row>
    <row r="91" ht="15" customHeight="1" s="195">
      <c r="A91" s="127" t="n"/>
      <c r="B91" s="187" t="inlineStr">
        <is>
          <t>Mischrohr</t>
        </is>
      </c>
      <c r="C91" s="122" t="n"/>
      <c r="D91" s="123" t="n"/>
      <c r="E91" s="124" t="n"/>
    </row>
    <row r="92" ht="15" customHeight="1" s="195">
      <c r="A92" s="120" t="inlineStr">
        <is>
          <t>0903420001</t>
        </is>
      </c>
      <c r="B92" s="186" t="inlineStr">
        <is>
          <t>Mischrohr</t>
        </is>
      </c>
      <c r="C92" s="51" t="inlineStr">
        <is>
          <t>Stk.</t>
        </is>
      </c>
      <c r="D92" s="125" t="n"/>
      <c r="E92" s="84" t="n"/>
    </row>
    <row r="93" ht="36" customHeight="1" s="195">
      <c r="A93" s="127" t="n"/>
      <c r="B93" s="187" t="inlineStr">
        <is>
          <t>Kabelbinder Polyamid, mit Nylonzunge</t>
        </is>
      </c>
      <c r="C93" s="122" t="n"/>
      <c r="D93" s="123" t="n"/>
      <c r="E93" s="124" t="n"/>
    </row>
    <row r="94" ht="15" customHeight="1" s="195">
      <c r="A94" s="54" t="inlineStr">
        <is>
          <t>050216</t>
        </is>
      </c>
      <c r="B94" s="158" t="inlineStr">
        <is>
          <t>Kabelbinder Polyamid, mit Nylonzunge 4,5x360 mm</t>
        </is>
      </c>
      <c r="C94" s="26" t="inlineStr">
        <is>
          <t>Pack</t>
        </is>
      </c>
      <c r="D94" s="28" t="n"/>
      <c r="E94" s="35" t="inlineStr">
        <is>
          <t>lang - 100 Stück in Pack</t>
        </is>
      </c>
    </row>
    <row r="95" ht="15" customHeight="1" s="195">
      <c r="A95" s="127" t="n"/>
      <c r="B95" s="187" t="inlineStr">
        <is>
          <t>Wärmeschrumpfverbinder</t>
        </is>
      </c>
      <c r="C95" s="122" t="n"/>
      <c r="D95" s="123" t="n"/>
      <c r="E95" s="124" t="n"/>
    </row>
    <row r="96" ht="36" customHeight="1" s="195">
      <c r="A96" s="54" t="inlineStr">
        <is>
          <t>05555101</t>
        </is>
      </c>
      <c r="B96" s="158" t="inlineStr">
        <is>
          <t>Wärmeschrumpfender Crimpverbinder, Stoßverbinder 0,5 - 1,5 mm²</t>
        </is>
      </c>
      <c r="C96" s="26" t="inlineStr">
        <is>
          <t>Stück</t>
        </is>
      </c>
      <c r="D96" s="129" t="n"/>
      <c r="E96" s="23" t="inlineStr">
        <is>
          <t>Stoßverbinder</t>
        </is>
      </c>
    </row>
    <row r="97" ht="15" customHeight="1" s="195">
      <c r="A97" s="54" t="inlineStr">
        <is>
          <t>0555511104</t>
        </is>
      </c>
      <c r="B97" s="158" t="inlineStr">
        <is>
          <t>Wärmeschrumpfender Crimpverbinder, Ringzunge 0,5 - 1,5 mm²</t>
        </is>
      </c>
      <c r="C97" s="26" t="inlineStr">
        <is>
          <t>Stück</t>
        </is>
      </c>
      <c r="D97" s="129" t="n"/>
      <c r="E97" s="23" t="inlineStr">
        <is>
          <t>Ringzunge</t>
        </is>
      </c>
    </row>
    <row r="98" ht="15" customHeight="1" s="195">
      <c r="A98" s="54" t="inlineStr">
        <is>
          <t>05555102</t>
        </is>
      </c>
      <c r="B98" s="158" t="inlineStr">
        <is>
          <t>Wärmeschrumpfender Crimpverbinder, Stoßverbinder 1,5 - 2,5 mm²</t>
        </is>
      </c>
      <c r="C98" s="26" t="inlineStr">
        <is>
          <t>Stück</t>
        </is>
      </c>
      <c r="D98" s="129" t="n"/>
      <c r="E98" s="23" t="inlineStr">
        <is>
          <t>Stoßverbinder</t>
        </is>
      </c>
    </row>
    <row r="99" ht="15" customHeight="1" s="195">
      <c r="A99" s="54" t="inlineStr">
        <is>
          <t>0555511206</t>
        </is>
      </c>
      <c r="B99" s="158" t="inlineStr">
        <is>
          <t>Wärmeschrumpfender Crimpverbinder, Ringzunge 1,5 - 2,5 mm²</t>
        </is>
      </c>
      <c r="C99" s="26" t="inlineStr">
        <is>
          <t>Stück</t>
        </is>
      </c>
      <c r="D99" s="129" t="n"/>
      <c r="E99" s="23" t="inlineStr">
        <is>
          <t>Ringzunge</t>
        </is>
      </c>
    </row>
    <row r="100" ht="15" customHeight="1" s="195">
      <c r="A100" s="127" t="n"/>
      <c r="B100" s="187" t="inlineStr">
        <is>
          <t>Werkstatt- &amp; Verbrauchsmaterial</t>
        </is>
      </c>
      <c r="C100" s="122" t="n"/>
      <c r="D100" s="123" t="n"/>
      <c r="E100" s="124" t="n"/>
    </row>
    <row r="101" ht="15" customHeight="1" s="195">
      <c r="A101" s="54" t="inlineStr">
        <is>
          <t>0874100202</t>
        </is>
      </c>
      <c r="B101" s="158" t="inlineStr">
        <is>
          <t>Panzertape (Gewebeklebeband)</t>
        </is>
      </c>
      <c r="C101" s="26" t="inlineStr">
        <is>
          <t>Stück</t>
        </is>
      </c>
      <c r="D101" s="129" t="n"/>
      <c r="E101" s="61" t="n"/>
    </row>
    <row r="102" ht="15" customHeight="1" s="195">
      <c r="A102" s="54" t="inlineStr">
        <is>
          <t>0985101</t>
        </is>
      </c>
      <c r="B102" s="158" t="inlineStr">
        <is>
          <t>Isolierband</t>
        </is>
      </c>
      <c r="C102" s="26" t="inlineStr">
        <is>
          <t>Stück</t>
        </is>
      </c>
      <c r="D102" s="129" t="n"/>
      <c r="E102" s="61" t="n"/>
    </row>
    <row r="103" ht="15" customHeight="1" s="195">
      <c r="A103" s="54" t="n"/>
      <c r="B103" s="158" t="n"/>
      <c r="C103" s="26" t="n"/>
      <c r="D103" s="129" t="n"/>
      <c r="E103" s="61" t="n"/>
    </row>
    <row r="104" ht="15" customHeight="1" s="195">
      <c r="A104" s="54" t="inlineStr">
        <is>
          <t>0664131250</t>
        </is>
      </c>
      <c r="B104" s="158" t="inlineStr">
        <is>
          <t>Trennscheibe</t>
        </is>
      </c>
      <c r="C104" s="26" t="inlineStr">
        <is>
          <t>Stück</t>
        </is>
      </c>
      <c r="D104" s="129" t="n"/>
      <c r="E104" s="25" t="inlineStr">
        <is>
          <t>125 x 1,0 mm</t>
        </is>
      </c>
    </row>
    <row r="105" ht="36" customHeight="1" s="195">
      <c r="A105" s="54" t="inlineStr">
        <is>
          <t>08938001</t>
        </is>
      </c>
      <c r="B105" s="158" t="inlineStr">
        <is>
          <t>Kupferpaste, 100g</t>
        </is>
      </c>
      <c r="C105" s="26" t="inlineStr">
        <is>
          <t>Stück</t>
        </is>
      </c>
      <c r="D105" s="129" t="n"/>
      <c r="E105" s="61" t="n"/>
    </row>
    <row r="106" ht="15" customHeight="1" s="195">
      <c r="A106" s="54" t="inlineStr">
        <is>
          <t>08932900</t>
        </is>
      </c>
      <c r="B106" s="158" t="inlineStr">
        <is>
          <t>Hochtemperatur Silikon, rot, 80ml</t>
        </is>
      </c>
      <c r="C106" s="26" t="inlineStr">
        <is>
          <t>Stück</t>
        </is>
      </c>
      <c r="D106" s="129" t="n"/>
      <c r="E106" s="61" t="n"/>
    </row>
    <row r="107" ht="15" customHeight="1" s="195">
      <c r="A107" s="54" t="inlineStr">
        <is>
          <t>0893223</t>
        </is>
      </c>
      <c r="B107" s="158" t="inlineStr">
        <is>
          <t>Schmierfett (weißes Sprühfett), 500ml</t>
        </is>
      </c>
      <c r="C107" s="26" t="inlineStr">
        <is>
          <t>Stück</t>
        </is>
      </c>
      <c r="D107" s="129" t="n"/>
      <c r="E107" s="61" t="n"/>
    </row>
    <row r="108" ht="15" customHeight="1" s="195">
      <c r="A108" s="54" t="inlineStr">
        <is>
          <t>08901087</t>
        </is>
      </c>
      <c r="B108" s="158" t="inlineStr">
        <is>
          <t>Bremsenreiniger, 500ml</t>
        </is>
      </c>
      <c r="C108" s="26" t="inlineStr">
        <is>
          <t>Stück</t>
        </is>
      </c>
      <c r="D108" s="129" t="n"/>
      <c r="E108" s="61" t="n"/>
    </row>
    <row r="109" ht="15" customHeight="1" s="195">
      <c r="A109" s="54" t="inlineStr">
        <is>
          <t>0893050004</t>
        </is>
      </c>
      <c r="B109" s="158" t="inlineStr">
        <is>
          <t>Bohr- und Schneidöl, 400ml</t>
        </is>
      </c>
      <c r="C109" s="26" t="inlineStr">
        <is>
          <t>Stück</t>
        </is>
      </c>
      <c r="D109" s="129" t="n"/>
      <c r="E109" s="61" t="n"/>
    </row>
    <row r="110" ht="15" customHeight="1" s="195">
      <c r="A110" s="54" t="inlineStr">
        <is>
          <t>0893550</t>
        </is>
      </c>
      <c r="B110" s="158" t="inlineStr">
        <is>
          <t>Servicespray, 400ml</t>
        </is>
      </c>
      <c r="C110" s="26" t="inlineStr">
        <is>
          <t>Stück</t>
        </is>
      </c>
      <c r="D110" s="129" t="n"/>
      <c r="E110" s="61" t="n"/>
    </row>
    <row r="111" ht="15" customHeight="1" s="195">
      <c r="A111" s="54" t="inlineStr">
        <is>
          <t>0893114113</t>
        </is>
      </c>
      <c r="B111" s="158" t="inlineStr">
        <is>
          <t>Zinkspray, grau, 400ml</t>
        </is>
      </c>
      <c r="C111" s="26" t="inlineStr">
        <is>
          <t>Stück</t>
        </is>
      </c>
      <c r="D111" s="129" t="n"/>
      <c r="E111" s="61" t="n"/>
    </row>
    <row r="112" ht="15" customHeight="1" s="195">
      <c r="A112" s="54" t="inlineStr">
        <is>
          <t>0893270050</t>
        </is>
      </c>
      <c r="B112" s="158" t="inlineStr">
        <is>
          <t>Schraubensicherung hochfest, 60g</t>
        </is>
      </c>
      <c r="C112" s="26" t="inlineStr">
        <is>
          <t xml:space="preserve">Stück </t>
        </is>
      </c>
      <c r="D112" s="129" t="n"/>
      <c r="E112" s="130" t="n"/>
    </row>
    <row r="113" ht="15" customHeight="1" s="195">
      <c r="A113" s="82" t="inlineStr">
        <is>
          <t>0893243025</t>
        </is>
      </c>
      <c r="B113" s="173" t="inlineStr">
        <is>
          <t>Schraubensicherung mittelfest, 24g</t>
        </is>
      </c>
      <c r="C113" s="78" t="inlineStr">
        <is>
          <t xml:space="preserve">Stück </t>
        </is>
      </c>
      <c r="D113" s="131" t="n"/>
      <c r="E113" s="132" t="n"/>
    </row>
    <row r="114" ht="15" customHeight="1" s="195"/>
    <row r="115" ht="15" customHeight="1" s="195"/>
    <row r="116" ht="15" customHeight="1" s="195"/>
    <row r="117" ht="15" customHeight="1" s="195"/>
    <row r="118" ht="15" customHeight="1" s="195"/>
    <row r="119" ht="15" customHeight="1" s="195"/>
    <row r="120" ht="15" customHeight="1" s="195"/>
    <row r="121" ht="15" customHeight="1" s="195"/>
    <row r="122" ht="15" customHeight="1" s="195"/>
    <row r="123" ht="15" customHeight="1" s="195"/>
    <row r="124" ht="15" customHeight="1" s="195"/>
    <row r="125" ht="15" customHeight="1" s="195"/>
    <row r="126" ht="15" customHeight="1" s="195"/>
    <row r="127" ht="15" customHeight="1" s="195"/>
    <row r="128" ht="15" customHeight="1" s="195"/>
    <row r="129" ht="15" customHeight="1" s="195"/>
    <row r="130" ht="15" customHeight="1" s="195"/>
    <row r="131" ht="15" customHeight="1" s="195"/>
    <row r="132" ht="15" customHeight="1" s="195"/>
    <row r="133" ht="15" customHeight="1" s="195"/>
    <row r="134" ht="15" customHeight="1" s="195"/>
    <row r="135" ht="15" customHeight="1" s="195"/>
    <row r="136" ht="15" customHeight="1" s="195"/>
    <row r="137" ht="15" customHeight="1" s="195"/>
    <row r="138" ht="15" customHeight="1" s="195"/>
    <row r="139" ht="15" customHeight="1" s="195"/>
    <row r="140" ht="15" customHeight="1" s="195"/>
  </sheetData>
  <mergeCells count="2">
    <mergeCell ref="C1:D1"/>
    <mergeCell ref="A1:B1"/>
  </mergeCells>
  <conditionalFormatting sqref="A6:E170">
    <cfRule type="expression" priority="1" dxfId="1">
      <formula>AND(ISNUMBER($D6),$D6&gt;0)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Normal="100" workbookViewId="0">
      <selection activeCell="G13" sqref="G13"/>
    </sheetView>
  </sheetViews>
  <sheetFormatPr baseColWidth="8" defaultColWidth="11.3984375" defaultRowHeight="14.25"/>
  <cols>
    <col width="16.265625" customWidth="1" style="195" min="1" max="1"/>
    <col width="10.59765625" customWidth="1" style="195" min="2" max="2"/>
    <col width="14.3984375" customWidth="1" style="195" min="3" max="3"/>
  </cols>
  <sheetData>
    <row r="1" ht="15" customHeight="1" s="195">
      <c r="A1" s="133" t="inlineStr">
        <is>
          <t>Techniker</t>
        </is>
      </c>
      <c r="B1" s="133" t="inlineStr">
        <is>
          <t>Lagerort</t>
        </is>
      </c>
      <c r="C1" s="133" t="inlineStr">
        <is>
          <t>Kostenstelle</t>
        </is>
      </c>
    </row>
    <row r="2" ht="15" customHeight="1" s="195">
      <c r="A2" s="134" t="inlineStr">
        <is>
          <t>Baloun Karel - LAD</t>
        </is>
      </c>
      <c r="B2" s="135" t="inlineStr">
        <is>
          <t>LAD</t>
        </is>
      </c>
      <c r="C2" s="134" t="n">
        <v>2215</v>
      </c>
    </row>
    <row r="3" ht="15" customHeight="1" s="195">
      <c r="A3" s="136" t="inlineStr">
        <is>
          <t>Kmet Jaroslav - LAG</t>
        </is>
      </c>
      <c r="B3" s="137" t="inlineStr">
        <is>
          <t>LAG</t>
        </is>
      </c>
      <c r="C3" s="136" t="n">
        <v>2216</v>
      </c>
    </row>
    <row r="4" ht="15" customHeight="1" s="195">
      <c r="A4" s="138" t="inlineStr">
        <is>
          <t>Rötzer Florian - LAK</t>
        </is>
      </c>
      <c r="B4" s="139" t="inlineStr">
        <is>
          <t>LAK</t>
        </is>
      </c>
      <c r="C4" s="138" t="n">
        <v>2217</v>
      </c>
    </row>
    <row r="5" ht="15" customHeight="1" s="195">
      <c r="A5" s="136" t="inlineStr">
        <is>
          <t>Sury Jakub - LAJ</t>
        </is>
      </c>
      <c r="B5" s="137" t="inlineStr">
        <is>
          <t>LAJ</t>
        </is>
      </c>
      <c r="C5" s="136" t="n">
        <v>2218</v>
      </c>
    </row>
    <row r="6">
      <c r="A6" s="136" t="inlineStr">
        <is>
          <t>Hofmann Fabian - LDV</t>
        </is>
      </c>
      <c r="B6" s="137" t="inlineStr">
        <is>
          <t>LDV</t>
        </is>
      </c>
      <c r="C6" s="136" t="n">
        <v>2219</v>
      </c>
    </row>
  </sheetData>
  <conditionalFormatting sqref="A2:C3">
    <cfRule type="expression" priority="2" dxfId="0">
      <formula>LEFT($A2,2)="EX"</formula>
    </cfRule>
  </conditionalFormatting>
  <pageMargins left="0.7" right="0.7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Scheibenzuber Michael</dc:creator>
  <dcterms:created xmlns:dcterms="http://purl.org/dc/terms/" xmlns:xsi="http://www.w3.org/2001/XMLSchema-instance" xsi:type="dcterms:W3CDTF">2016-01-19T08:32:08Z</dcterms:created>
  <dcterms:modified xmlns:dcterms="http://purl.org/dc/terms/" xmlns:xsi="http://www.w3.org/2001/XMLSchema-instance" xsi:type="dcterms:W3CDTF">2026-08-16T10:39:08Z</dcterms:modified>
  <cp:lastModifiedBy>Karel Baloun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0x0101002FFAC069ABDE2F4FAD5555482A58513E</vt:lpwstr>
  </property>
  <property name="MediaServiceImageTags" fmtid="{D5CDD505-2E9C-101B-9397-08002B2CF9AE}" pid="3">
    <vt:lpwstr xmlns:vt="http://schemas.openxmlformats.org/officeDocument/2006/docPropsVTypes"/>
  </property>
</Properties>
</file>