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be05c5aaf0cecf/Dokumenty/Německo/Lely/"/>
    </mc:Choice>
  </mc:AlternateContent>
  <xr:revisionPtr revIDLastSave="0" documentId="14_{E0993E76-B010-41CD-A1B8-F030BC0846F0}" xr6:coauthVersionLast="47" xr6:coauthVersionMax="47" xr10:uidLastSave="{00000000-0000-0000-0000-000000000000}"/>
  <bookViews>
    <workbookView xWindow="-98" yWindow="-98" windowWidth="21795" windowHeight="12975" xr2:uid="{9472446E-3C8C-42FB-BABC-DD45AA9E001B}"/>
  </bookViews>
  <sheets>
    <sheet name="Montage" sheetId="1" r:id="rId1"/>
    <sheet name="Zusatz" sheetId="2" r:id="rId2"/>
    <sheet name="Maschine" sheetId="3" r:id="rId3"/>
    <sheet name="HM" sheetId="4" r:id="rId4"/>
    <sheet name="Reinigungsmitte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B6" i="4"/>
  <c r="B5" i="4"/>
  <c r="B8" i="3"/>
  <c r="B7" i="3"/>
  <c r="B6" i="3"/>
  <c r="B5" i="3"/>
  <c r="B4" i="4"/>
  <c r="B3" i="4"/>
  <c r="B2" i="4"/>
  <c r="B4" i="3"/>
  <c r="B3" i="3"/>
  <c r="B2" i="3"/>
  <c r="A4" i="5"/>
  <c r="A4" i="4"/>
  <c r="A4" i="3"/>
  <c r="A4" i="2"/>
  <c r="B4" i="2"/>
  <c r="D7" i="5"/>
  <c r="D8" i="5"/>
  <c r="D6" i="5"/>
  <c r="E8" i="4"/>
  <c r="E7" i="4"/>
  <c r="E6" i="4"/>
  <c r="E8" i="3"/>
  <c r="E7" i="3"/>
  <c r="E6" i="3"/>
  <c r="F7" i="2"/>
  <c r="F8" i="2"/>
  <c r="F6" i="2"/>
  <c r="A1" i="5"/>
  <c r="A1" i="4"/>
  <c r="A1" i="3"/>
  <c r="A1" i="2"/>
  <c r="B8" i="5"/>
  <c r="B7" i="5"/>
  <c r="B6" i="5"/>
  <c r="B5" i="5"/>
  <c r="B4" i="5"/>
  <c r="B3" i="5"/>
  <c r="B2" i="5"/>
  <c r="B3" i="2"/>
  <c r="B5" i="2"/>
  <c r="B6" i="2"/>
  <c r="B7" i="2"/>
  <c r="B8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Rauch Ferdinand</author>
  </authors>
  <commentList>
    <comment ref="C29" authorId="0" shapeId="0" xr:uid="{32AF83E0-0685-4657-A7CE-5D8D8EFB1961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2 Stk pro Selektionstor
</t>
        </r>
      </text>
    </comment>
    <comment ref="C31" authorId="0" shapeId="0" xr:uid="{4A94E53E-128E-4AAB-9565-521535E6821C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 - Pro Milchleitungsende 2 Stk
 - 1 RU -&gt; 4 Stk
 - 1 RU + Rohrk. -&gt; 8 Stk
 - 1 RU + Rohrk. + Puffertank -&gt; 16 Stk
 - 2 RU -&gt; 12 Stk
 - 2 RU + Rohrk. -&gt; 16 Stk
 - 2 RU + Rohrk. + Puffertank -&gt; 24 Stk
 - 3 RU + Rohrk. + Puffertank -&gt; 32 Stk</t>
        </r>
      </text>
    </comment>
    <comment ref="C32" authorId="0" shapeId="0" xr:uid="{6A7BCA79-B1F0-434B-BFF1-1D4759EF5E5C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 - 1 RU/CU -&gt; 2 Stk
 - 2 RU/CU -&gt; 5 Stk</t>
        </r>
      </text>
    </comment>
    <comment ref="C34" authorId="0" shapeId="0" xr:uid="{D06D6CD9-828E-4DA4-9663-03CA693ECF2D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1x pro Flüssigdossierer (Multi-Dos/Titania) </t>
        </r>
      </text>
    </comment>
    <comment ref="C37" authorId="0" shapeId="0" xr:uid="{3BCEF7A4-28DE-497F-986C-FD1073F25FED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Bestandteil von Kettenaufhängung, 1x pro RU
</t>
        </r>
      </text>
    </comment>
    <comment ref="C38" authorId="0" shapeId="0" xr:uid="{EE2F0D73-2408-46B7-98A2-30DF0539DBAB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Bestandteil von Kettenaufhängung, 1x pro RU
</t>
        </r>
      </text>
    </comment>
    <comment ref="C39" authorId="0" shapeId="0" xr:uid="{FD6D8A5B-748D-485C-9502-F0787327D9CA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Bestandteil von Kettenaufhängung, 1x pro RU
</t>
        </r>
      </text>
    </comment>
    <comment ref="C40" authorId="0" shapeId="0" xr:uid="{3FD20E29-770A-47FB-A1DC-DA1BDCE21253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Bestandteil von Kettenaufhängung, 1x pro RU
</t>
        </r>
      </text>
    </comment>
    <comment ref="C43" authorId="0" shapeId="0" xr:uid="{929DEB00-1786-4433-8B2D-D4A28DB736D6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1x pro RU
1x pro PC
1x pro Grazeway
1x pro Cosmix</t>
        </r>
      </text>
    </comment>
    <comment ref="C44" authorId="0" shapeId="0" xr:uid="{CC7298A3-8A9F-4F26-8B4B-0159DB6C8047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wird benötigt ab 5 Komponenten
-&gt; Doppelanlage
-&gt; PC, CRS, CU, RU, ISO </t>
        </r>
      </text>
    </comment>
    <comment ref="C45" authorId="0" shapeId="0" xr:uid="{3F7D8EAE-45EF-47E3-8EF5-BC7FF7E9E93B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1x pro RU
1x pro PC
1x pro Stallantenne
1x pro Wedholms-Tank
1x pro Grazeway
1x pro Cosmix</t>
        </r>
      </text>
    </comment>
    <comment ref="C51" authorId="0" shapeId="0" xr:uid="{740BD0A7-B165-4AB5-BAA7-13A517165571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pro RU -&gt; 2 Stk
</t>
        </r>
      </text>
    </comment>
    <comment ref="C52" authorId="0" shapeId="0" xr:uid="{A12DD088-DB6B-4ECE-9A47-E1F94BFECE79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1x pro CU, CRS und Stallantenne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Rauch Ferdinand</author>
  </authors>
  <commentList>
    <comment ref="C25" authorId="0" shapeId="0" xr:uid="{748FC76B-1872-462C-9FFF-86A572EE244D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2 Stk pro Milchtaxianbindung</t>
        </r>
      </text>
    </comment>
    <comment ref="C26" authorId="0" shapeId="0" xr:uid="{12AC3D0B-75B6-427A-9D42-0F4E1F0417EF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2 Stk pro Milchtaxianbindung</t>
        </r>
      </text>
    </comment>
    <comment ref="C28" authorId="0" shapeId="0" xr:uid="{EE56EFE5-74BF-4C69-9631-1F31499488D8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je 2 Stk pro Milchtaxianbindung</t>
        </r>
      </text>
    </comment>
    <comment ref="C30" authorId="0" shapeId="0" xr:uid="{5B444CF1-3772-45AC-AB77-4B9D028CC4E3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2 Stk pro Puffertank
</t>
        </r>
      </text>
    </comment>
    <comment ref="C31" authorId="0" shapeId="0" xr:uid="{5AD38001-CCF1-471A-A344-376A8BC91A8C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je 2 Stk pro Puffertank
</t>
        </r>
      </text>
    </comment>
    <comment ref="C33" authorId="0" shapeId="0" xr:uid="{57B7EB84-5CDD-4A2E-B290-03CCAFB4758E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10 Stk pro Puffertank</t>
        </r>
      </text>
    </comment>
    <comment ref="C35" authorId="0" shapeId="0" xr:uid="{C91F127C-F475-4D89-97B9-C9006CD43477}">
      <text>
        <r>
          <rPr>
            <b/>
            <sz val="9"/>
            <color indexed="81"/>
            <rFont val="Segoe UI"/>
            <family val="2"/>
          </rPr>
          <t>Rauch Ferdinand:</t>
        </r>
        <r>
          <rPr>
            <sz val="9"/>
            <color indexed="81"/>
            <rFont val="Segoe UI"/>
            <family val="2"/>
          </rPr>
          <t xml:space="preserve">
Stromkabel 24 V z.B. von V-Box zu Grazeway</t>
        </r>
      </text>
    </comment>
  </commentList>
</comments>
</file>

<file path=xl/sharedStrings.xml><?xml version="1.0" encoding="utf-8"?>
<sst xmlns="http://schemas.openxmlformats.org/spreadsheetml/2006/main" count="679" uniqueCount="479">
  <si>
    <t>Artikelnr.:</t>
  </si>
  <si>
    <t>Stück</t>
  </si>
  <si>
    <t>L9118500995</t>
  </si>
  <si>
    <t>Milchleitung (100m)</t>
  </si>
  <si>
    <t>FE844746</t>
  </si>
  <si>
    <t>Stromkabel, abgeschirmt 3x 2,5 ²</t>
  </si>
  <si>
    <t>L9106501260</t>
  </si>
  <si>
    <t xml:space="preserve">Schlauch grün 19mm </t>
  </si>
  <si>
    <t>L9106501000</t>
  </si>
  <si>
    <t xml:space="preserve">Schlauch rot 19mm </t>
  </si>
  <si>
    <t>L9106501270</t>
  </si>
  <si>
    <t xml:space="preserve">Schlauch blau 19mm </t>
  </si>
  <si>
    <t>L9118501603</t>
  </si>
  <si>
    <t>Vakuumschlauch (30m)</t>
  </si>
  <si>
    <t>L9118501006</t>
  </si>
  <si>
    <t>Isolierung normal (2m/Stück)</t>
  </si>
  <si>
    <t>LD221420101935</t>
  </si>
  <si>
    <t>Isol. groß 35 mm (1m/Stück)</t>
  </si>
  <si>
    <t>FE224457</t>
  </si>
  <si>
    <t>Gitterrinne 60x100 (3m)</t>
  </si>
  <si>
    <t>FE224632</t>
  </si>
  <si>
    <t>Gitterrinne 60x300 (3m)</t>
  </si>
  <si>
    <t>FE224633</t>
  </si>
  <si>
    <t>Gitterrinne 60x400 (3m)</t>
  </si>
  <si>
    <t>FE045973</t>
  </si>
  <si>
    <t>Ausleger für Gitterr.(100mm) pro mtr./1 Stk.</t>
  </si>
  <si>
    <t>FE045975</t>
  </si>
  <si>
    <t>Ausleger für Gitterr. (300mm) pro mtr./1 Stk.</t>
  </si>
  <si>
    <t>FE045976</t>
  </si>
  <si>
    <t>Ausleger für Gitterr. (400mm) pro mtr./1 Stk.</t>
  </si>
  <si>
    <t>FE045978</t>
  </si>
  <si>
    <t>Ausleger für Gitterr. (600mm) pro mtr./1 Stk.</t>
  </si>
  <si>
    <t>QU2641540</t>
  </si>
  <si>
    <t>Ausleger für Gitterr. (800mm) pro mtr./1 Stk.</t>
  </si>
  <si>
    <t>BB576367</t>
  </si>
  <si>
    <t>Spaltenanker (normal)</t>
  </si>
  <si>
    <t>BD300302</t>
  </si>
  <si>
    <t>Spaltenanker (für ungerade Spalten)</t>
  </si>
  <si>
    <t>LD110000</t>
  </si>
  <si>
    <t>Kreuzschellen (pro Sep.tor zwei Stück)</t>
  </si>
  <si>
    <t>L9113801894</t>
  </si>
  <si>
    <t>Druckluftdrossel für Selektionstor</t>
  </si>
  <si>
    <t>BB300840</t>
  </si>
  <si>
    <t>Kopfplattenhalter für Torwächter-Standpfosten</t>
  </si>
  <si>
    <t>L9106600203</t>
  </si>
  <si>
    <t>Schlauchschellen Milchleitung (16-25 mm)</t>
  </si>
  <si>
    <t>L9106600542</t>
  </si>
  <si>
    <t>Schlauchschellen Dippmittel (10,5-12 mm)</t>
  </si>
  <si>
    <t>RMHR8X1ES4A</t>
  </si>
  <si>
    <t>Ansauglanze für Multi-Dos Flüssigdosierer</t>
  </si>
  <si>
    <t>RMHIQS100</t>
  </si>
  <si>
    <t>Rückschlagventile für Flüssigfütterung</t>
  </si>
  <si>
    <t>L9113812350</t>
  </si>
  <si>
    <t>22er Winkel-Luftanschluss (1x Pro Doppelanlage)</t>
  </si>
  <si>
    <t>L9113812390</t>
  </si>
  <si>
    <t>Clip für Winkel-Luftanschluss (1x pro Doppelanlage)</t>
  </si>
  <si>
    <t xml:space="preserve">Netzwerkkoppler </t>
  </si>
  <si>
    <t>Netzwerkswitch Phoenix FL SFNT 5TX</t>
  </si>
  <si>
    <t>Patchkabel für Netzwerkkoppler</t>
  </si>
  <si>
    <t>RMPA4X2BLAU</t>
  </si>
  <si>
    <t>Luftschlauch 4mm (100 m)</t>
  </si>
  <si>
    <t>RMPA6X4BLAU</t>
  </si>
  <si>
    <t>Luftschlauch 6mm (100m)</t>
  </si>
  <si>
    <t>L9113801533</t>
  </si>
  <si>
    <t>Luftschlauch 10mm (50m)</t>
  </si>
  <si>
    <t>ROPA22X18</t>
  </si>
  <si>
    <t>Luftschlauch 22mm (50m)</t>
  </si>
  <si>
    <t>Dippmittelschlauch (50m)</t>
  </si>
  <si>
    <t>L9106600236</t>
  </si>
  <si>
    <t>Schlauchschellen Vakuumleitung (32-50mm)</t>
  </si>
  <si>
    <t>FE845014</t>
  </si>
  <si>
    <t>Datenstecker abgewinkelt</t>
  </si>
  <si>
    <t>FE025923</t>
  </si>
  <si>
    <t>Patchkabel 1,0 m</t>
  </si>
  <si>
    <t>FE025926</t>
  </si>
  <si>
    <t>Patchkabel 3,0 m</t>
  </si>
  <si>
    <t>FE780162</t>
  </si>
  <si>
    <t>BTR RJ45-Stecker E - DAT Cat 6</t>
  </si>
  <si>
    <t>L60306</t>
  </si>
  <si>
    <t>V - Box CRS M3</t>
  </si>
  <si>
    <t>FE365912</t>
  </si>
  <si>
    <t>FE225081</t>
  </si>
  <si>
    <t>Platten für Gitterrinne (Pack. 25 Stk)</t>
  </si>
  <si>
    <t>FE225082</t>
  </si>
  <si>
    <t>Schrauben/Kepsmutter für Gitterr. Platten (Pack. 100 Stk)</t>
  </si>
  <si>
    <t>FE803592</t>
  </si>
  <si>
    <t>Tip-Rohr M 25 inkl. Schellen (3m)</t>
  </si>
  <si>
    <t>Steuerleitung: 2 x 1,0mm² (CRS-Kom.) (100m)</t>
  </si>
  <si>
    <t>Steuerleitung: 7 x 0,75mm² (CRS-Wedh. + Fremdtank) (100m)</t>
  </si>
  <si>
    <t>Steuerleitung: 3 x 1,5mm² (CRS-Fremdtank) (100m)</t>
  </si>
  <si>
    <t>Datenkabel CAT 7 (250m)</t>
  </si>
  <si>
    <t>FE050470</t>
  </si>
  <si>
    <t>Kabelkanal 110 (2m, Lichtgrau)</t>
  </si>
  <si>
    <t>M4USE Schlauch (25m)</t>
  </si>
  <si>
    <t>Milchleitungsschellen "schwarz" (10 Stk)</t>
  </si>
  <si>
    <t>Milch-Schlauch Silikon (22 x 3,5) 25m</t>
  </si>
  <si>
    <t xml:space="preserve">22 - 14 mm Luftanschluss </t>
  </si>
  <si>
    <t>RK30718</t>
  </si>
  <si>
    <t>3- Wege Luftanschluss 22 mm (Kompresssor)</t>
  </si>
  <si>
    <t>22 mm T-Stück Luftanschluss</t>
  </si>
  <si>
    <t>16/19 Wasseranschlüsse</t>
  </si>
  <si>
    <t>L5100372300</t>
  </si>
  <si>
    <t>T- Verbindung für Milchleitung</t>
  </si>
  <si>
    <t>L400361</t>
  </si>
  <si>
    <t>Y- Verbindung für Milchleitung</t>
  </si>
  <si>
    <t>M 12 Stecker für Automatiktor Anschluss</t>
  </si>
  <si>
    <t>10 mm Luftschlauch (Flüssig/CU-RU/CRS-Kom.) (100m)</t>
  </si>
  <si>
    <t>Steck-Schnellkupplung 6mm</t>
  </si>
  <si>
    <t>RMIQST10060100</t>
  </si>
  <si>
    <t>T-Stück 10-6-10</t>
  </si>
  <si>
    <t>ROIQST40</t>
  </si>
  <si>
    <t>T-Stück 4-4-4</t>
  </si>
  <si>
    <t>Einschrauber für CU 19er Leitungen</t>
  </si>
  <si>
    <t>Roboterauslieferungsliste 01.26</t>
  </si>
  <si>
    <t>Kunde:</t>
  </si>
  <si>
    <t>Anschrift:</t>
  </si>
  <si>
    <t>Lagerort:</t>
  </si>
  <si>
    <t>Artikel:</t>
  </si>
  <si>
    <t>Länge
(m)</t>
  </si>
  <si>
    <t>Ausge
liefert</t>
  </si>
  <si>
    <t>Nachlie
ferung</t>
  </si>
  <si>
    <t>EE564850</t>
  </si>
  <si>
    <t xml:space="preserve"> WÜ00581080  </t>
  </si>
  <si>
    <t xml:space="preserve"> WÜ5176020003</t>
  </si>
  <si>
    <t xml:space="preserve">L5100426410    </t>
  </si>
  <si>
    <t>L9119004520</t>
  </si>
  <si>
    <t>L9119072180</t>
  </si>
  <si>
    <t>L9119001050</t>
  </si>
  <si>
    <t xml:space="preserve">L9106500613 </t>
  </si>
  <si>
    <t>Augenschraube (1x/Roboter)</t>
  </si>
  <si>
    <t>Edelstahlkette (2,5 mtr. / Roboter)</t>
  </si>
  <si>
    <t>Klammer (1x / Roboter)</t>
  </si>
  <si>
    <t>Karabiner (1x / Roboter)</t>
  </si>
  <si>
    <t>FE132129</t>
  </si>
  <si>
    <t>FE132203</t>
  </si>
  <si>
    <t>FE135472</t>
  </si>
  <si>
    <t>FE025406</t>
  </si>
  <si>
    <t>L9118503515</t>
  </si>
  <si>
    <t>L9113709372</t>
  </si>
  <si>
    <t>L9106500646</t>
  </si>
  <si>
    <t>L5100550360</t>
  </si>
  <si>
    <t>L9113812370</t>
  </si>
  <si>
    <t>L5100463910</t>
  </si>
  <si>
    <t>L9118610670</t>
  </si>
  <si>
    <t>L9106500613</t>
  </si>
  <si>
    <t>L9113803256</t>
  </si>
  <si>
    <t>L5100417270</t>
  </si>
  <si>
    <t>5.1005.0020-007</t>
  </si>
  <si>
    <t>Astronaut A5 ( ) rechts, ( ) links</t>
  </si>
  <si>
    <t>5.1004.2897.0</t>
  </si>
  <si>
    <t>MQC-C type 3 + Bedienungsanleitung</t>
  </si>
  <si>
    <t>5.1005.3645.0</t>
  </si>
  <si>
    <t>5.1005.3837.0</t>
  </si>
  <si>
    <t>zusätzlicher Futterdosierer</t>
  </si>
  <si>
    <t>5.1005.0030-002</t>
  </si>
  <si>
    <t>Zentraleinheit, S/Nr:</t>
  </si>
  <si>
    <t>5.1005.3740.0</t>
  </si>
  <si>
    <t>Installations-Basispaket</t>
  </si>
  <si>
    <t>5.1005.3741.0</t>
  </si>
  <si>
    <t>Install.-Doppelp. (9.1190.0105.0 &amp; 9.1190.0452.0)</t>
  </si>
  <si>
    <t>Gummimatte incl. Rost (Floor assembly)</t>
  </si>
  <si>
    <t>5.1004.2215.0</t>
  </si>
  <si>
    <t>Torwächter</t>
  </si>
  <si>
    <t>5.1004.6812.0</t>
  </si>
  <si>
    <t>CRS M3 + Alarmmelder (5.1005.5687.0)</t>
  </si>
  <si>
    <t>9.1185.0476.0</t>
  </si>
  <si>
    <t>ISO LD Antenne (9.1185.0489.0 &amp; 9.1185.0491.0)</t>
  </si>
  <si>
    <t>5.1005.3661.0</t>
  </si>
  <si>
    <t>HR LD Controller (5.1005.3702.0 &amp; 9.1185.1162.0)</t>
  </si>
  <si>
    <t>5.1004.1100.0</t>
  </si>
  <si>
    <t>M4USE</t>
  </si>
  <si>
    <t>5.1001.8201.0</t>
  </si>
  <si>
    <t>Separationstor</t>
  </si>
  <si>
    <t>5.1003.6780.0</t>
  </si>
  <si>
    <t>Pura Demi-Filter</t>
  </si>
  <si>
    <t>5.1003.6061.0</t>
  </si>
  <si>
    <t>Milchfilter</t>
  </si>
  <si>
    <t>5.1004.6681.0</t>
  </si>
  <si>
    <t>TWIN-Filter + Einwegventil</t>
  </si>
  <si>
    <t>5.1005.8533.0</t>
  </si>
  <si>
    <t>Benutzerhandbuch</t>
  </si>
  <si>
    <t>9.9999.7531.0</t>
  </si>
  <si>
    <t>Overalls</t>
  </si>
  <si>
    <t>Discovery + Ladestation, Se.Nr.:</t>
  </si>
  <si>
    <t>5.4302.8554.0</t>
  </si>
  <si>
    <t>Juno + Ladestation, Se.Nr.:</t>
  </si>
  <si>
    <t>5.2308.8511.0</t>
  </si>
  <si>
    <t>Cosmix</t>
  </si>
  <si>
    <t>SLDQ-LELY-3,7</t>
  </si>
  <si>
    <t>Renner Kompressor 3,7 KW, Se.Nr.:</t>
  </si>
  <si>
    <t>SLDQ-LELY-5,5</t>
  </si>
  <si>
    <t>Renner Kompressor 5,5 KW, Se.Nr.:</t>
  </si>
  <si>
    <t xml:space="preserve">Boetech Puffertank, Größe: </t>
  </si>
  <si>
    <t>Zusätzlicher Ventilblock für CRS M3</t>
  </si>
  <si>
    <t>Boetech Automatiktor 3 Meter</t>
  </si>
  <si>
    <t>Boetech Automatiktor 5 Meter</t>
  </si>
  <si>
    <t>Set Fernbedienung Automatiktor</t>
  </si>
  <si>
    <t>Tankmodell, S/Nr:</t>
  </si>
  <si>
    <t>ERSATZTEILE</t>
  </si>
  <si>
    <t>H036473005</t>
  </si>
  <si>
    <t>Hanskamp Multi-Dos</t>
  </si>
  <si>
    <t>H001358000</t>
  </si>
  <si>
    <t>Hanskamp Pipefeeder</t>
  </si>
  <si>
    <t>H002677031</t>
  </si>
  <si>
    <t>Hanskamp Black-V Pulverdosierer kompl.</t>
  </si>
  <si>
    <t>L9.1187.0002.4</t>
  </si>
  <si>
    <t>Rohrkühler</t>
  </si>
  <si>
    <t>L36118700024</t>
  </si>
  <si>
    <t>Rohrkühler-Kit</t>
  </si>
  <si>
    <t>L9118501835</t>
  </si>
  <si>
    <t>Filterspenderbox</t>
  </si>
  <si>
    <t>Texastor komplett</t>
  </si>
  <si>
    <t>L5972300002</t>
  </si>
  <si>
    <t>Texastorflügel</t>
  </si>
  <si>
    <t>L201795</t>
  </si>
  <si>
    <t>Dreiwegeventil mit Platte von Boetech</t>
  </si>
  <si>
    <t>L9119006580</t>
  </si>
  <si>
    <t>Kabel für Ventilüberwachung (10 Meter)</t>
  </si>
  <si>
    <t>FE770425</t>
  </si>
  <si>
    <t>Kabel für Ventilüberwachung (20 Meter)</t>
  </si>
  <si>
    <t>L9106600656</t>
  </si>
  <si>
    <t>Tri-Clamp Klemmen (klein) 34 mm</t>
  </si>
  <si>
    <t>L9113000283</t>
  </si>
  <si>
    <t>Dichtungen für Tri-Clamp Klemmen</t>
  </si>
  <si>
    <t>L5100458530</t>
  </si>
  <si>
    <t>Anschluss Milchleitung Tri-Clamp gerade</t>
  </si>
  <si>
    <t>L5108007310</t>
  </si>
  <si>
    <t>Anschluss Milchleitung Tri-Clamp 90° Bogen</t>
  </si>
  <si>
    <t>BD400205</t>
  </si>
  <si>
    <t>Schwanenhals DN 20 kompl. mit Spritzschutz</t>
  </si>
  <si>
    <t>L200035</t>
  </si>
  <si>
    <t>Milchabfüllbogen (Schwanenhals)</t>
  </si>
  <si>
    <t>LD720047</t>
  </si>
  <si>
    <t>WTS 300 Steuerung</t>
  </si>
  <si>
    <t>LD1X00101</t>
  </si>
  <si>
    <t>Magnetventilkit (1x pro WTS)</t>
  </si>
  <si>
    <t>Halsbänder lang, 1,50 m (10 Stk pro Pck)</t>
  </si>
  <si>
    <t>Halsbänder "kurz"(10 Stk pro Pck)</t>
  </si>
  <si>
    <t>Halsbändergewichte (10 Stk pro Pck)</t>
  </si>
  <si>
    <t>Nummern Satz (0-99)</t>
  </si>
  <si>
    <t>Responder HR-LDn (10 Stk pro Pck)</t>
  </si>
  <si>
    <t>Ersatzteile</t>
  </si>
  <si>
    <t>LD 75750</t>
  </si>
  <si>
    <t xml:space="preserve">Änderung Zitzengummi in M23 </t>
  </si>
  <si>
    <t>Änderung Zitzengummi in M22</t>
  </si>
  <si>
    <t>Änderung Zitzengummi in M21Soft</t>
  </si>
  <si>
    <t>Verschleißteilpaket   A4/A5</t>
  </si>
  <si>
    <t>LDTOOLBOX</t>
  </si>
  <si>
    <t>Werkzeugbox (Selbstzusammengestellte Box)</t>
  </si>
  <si>
    <t>BD300386</t>
  </si>
  <si>
    <t>Einmelkbügel     " rechts "</t>
  </si>
  <si>
    <t>BD300385</t>
  </si>
  <si>
    <t>Einmelkbügel     " links "</t>
  </si>
  <si>
    <t>Standpfosten 2,5" x 1,5m</t>
  </si>
  <si>
    <t>Standpfosten 2,5" x 3m</t>
  </si>
  <si>
    <t>LD1007</t>
  </si>
  <si>
    <t>Rohrset gegen Aufspringen</t>
  </si>
  <si>
    <t>L5100460540</t>
  </si>
  <si>
    <t>Umbausatz Ketten (4Stk.)</t>
  </si>
  <si>
    <t>LD1004</t>
  </si>
  <si>
    <t>Milchtaxianbindung - Dreiwegeventil</t>
  </si>
  <si>
    <t>LD086269</t>
  </si>
  <si>
    <t xml:space="preserve">     - Schellen für Milchtaxianbindung</t>
  </si>
  <si>
    <t>LD961775</t>
  </si>
  <si>
    <t xml:space="preserve">     - Stockschrauben für Milchtaxianb.</t>
  </si>
  <si>
    <t xml:space="preserve">     - Tri-Clamp klein </t>
  </si>
  <si>
    <t xml:space="preserve">     -  Dichtung</t>
  </si>
  <si>
    <t>Puffertank - Montagematerial</t>
  </si>
  <si>
    <t xml:space="preserve">     - Anschluss Milchleitung Tri-Clamp 90° Bogen</t>
  </si>
  <si>
    <t xml:space="preserve">     - Dichtung</t>
  </si>
  <si>
    <t xml:space="preserve">     - Schlauchschellen Milchleitung (16-25 mm)</t>
  </si>
  <si>
    <t>Grazeway-Montagematerial</t>
  </si>
  <si>
    <t>FE180016</t>
  </si>
  <si>
    <t>Stromkabel 3x 1,5mm² Erdkabelausführung Flex</t>
  </si>
  <si>
    <t>FE842648</t>
  </si>
  <si>
    <t>Datenkabel CAT 7 Erdkabelausführung</t>
  </si>
  <si>
    <t>FE095930</t>
  </si>
  <si>
    <t>FRAE flexibles Isolierrohr FBY-EL-F32 schwarz</t>
  </si>
  <si>
    <t>FE518915</t>
  </si>
  <si>
    <t>FRAE Alu-Steckrohr Alu-Steck-E32</t>
  </si>
  <si>
    <t>FE459625</t>
  </si>
  <si>
    <t>FRAE Alu-Steckbogen ABS-E 32</t>
  </si>
  <si>
    <t>FE459628</t>
  </si>
  <si>
    <t>FRAE Alu-Steckmuffe AMS-E 32</t>
  </si>
  <si>
    <t>FE803133</t>
  </si>
  <si>
    <t>FRAE Alu-Abstandschelle ASG-E 32</t>
  </si>
  <si>
    <t>Große Milchleitung</t>
  </si>
  <si>
    <t>Große Milchleitung PX DN25 (Rolle 100m)</t>
  </si>
  <si>
    <t>Anschluss Milchleitung Tri-Clamp gerade DN25</t>
  </si>
  <si>
    <t xml:space="preserve">Schlauch Klemmen Milchleitung DN25 </t>
  </si>
  <si>
    <t>Dichtung DN25</t>
  </si>
  <si>
    <t>Tri-Clamp DN26</t>
  </si>
  <si>
    <t>Reduzierung Clamp DN20- Clamp DN25</t>
  </si>
  <si>
    <t>Clamp DN25 - Pex DN25 90° Bogen</t>
  </si>
  <si>
    <t>Boetech Rohrkühler DN25 - Verkauf</t>
  </si>
  <si>
    <t>430931 Boetech</t>
  </si>
  <si>
    <t>Rohrkühler 3m 19 in 1</t>
  </si>
  <si>
    <t>66660539 Boetech</t>
  </si>
  <si>
    <t>Wandhalterung 3m 19 in 1</t>
  </si>
  <si>
    <t>66660640 Boetech</t>
  </si>
  <si>
    <t>DN25 Pex Eccentric</t>
  </si>
  <si>
    <t>66660638 Boetech</t>
  </si>
  <si>
    <t>DN25 Clamp Eccentric</t>
  </si>
  <si>
    <t>66670640 Boetech</t>
  </si>
  <si>
    <t>DN25 Pex Blind</t>
  </si>
  <si>
    <t>66670638 Boetech</t>
  </si>
  <si>
    <t>DN25 Clamp Blind</t>
  </si>
  <si>
    <t>L5970021110</t>
  </si>
  <si>
    <t xml:space="preserve">Kanister Astri- LC </t>
  </si>
  <si>
    <t>L5970021120</t>
  </si>
  <si>
    <t>Kanister Astri- Lin</t>
  </si>
  <si>
    <t>L5970021130</t>
  </si>
  <si>
    <t>Kanister Astri- Cid</t>
  </si>
  <si>
    <t>L5970022310</t>
  </si>
  <si>
    <t>Kanister Reca Duo A,  Tankreiniger "alkalisch"</t>
  </si>
  <si>
    <t>L5970022320</t>
  </si>
  <si>
    <t>Kanister Reca Duo S,  Tankreiniger "sauer"</t>
  </si>
  <si>
    <t>L5970022160</t>
  </si>
  <si>
    <t>Astri-Cell Starter Kit</t>
  </si>
  <si>
    <t>L5970020460</t>
  </si>
  <si>
    <t>Astri-Cell Konzentrat (1 Liter)</t>
  </si>
  <si>
    <t>L5970141090</t>
  </si>
  <si>
    <t>Fl. Lely TDS Clean</t>
  </si>
  <si>
    <t>L5970022580</t>
  </si>
  <si>
    <t>Essentials Vakuumpumpen-Reiniger</t>
  </si>
  <si>
    <t>L5970149170</t>
  </si>
  <si>
    <t>Quaress-Fundo 60kg</t>
  </si>
  <si>
    <t>BD500500</t>
  </si>
  <si>
    <t xml:space="preserve">BD425001 </t>
  </si>
  <si>
    <t xml:space="preserve">BD720201 </t>
  </si>
  <si>
    <t xml:space="preserve">BD720153 </t>
  </si>
  <si>
    <t>BD201400</t>
  </si>
  <si>
    <t>BD425003</t>
  </si>
  <si>
    <t>L300400</t>
  </si>
  <si>
    <t>L3004003</t>
  </si>
  <si>
    <t>L5970020700</t>
  </si>
  <si>
    <t>L5970022570</t>
  </si>
  <si>
    <t>L5970020730</t>
  </si>
  <si>
    <t>L5970021070</t>
  </si>
  <si>
    <t>Kanister Power Liquid Max (40 kg)</t>
  </si>
  <si>
    <t>L9118504850</t>
  </si>
  <si>
    <t>L9118504483</t>
  </si>
  <si>
    <t>L9118504494</t>
  </si>
  <si>
    <t>L9118504505</t>
  </si>
  <si>
    <t>L9118903400</t>
  </si>
  <si>
    <t>L5100417210</t>
  </si>
  <si>
    <t>---</t>
  </si>
  <si>
    <t>Kundennummer:</t>
  </si>
  <si>
    <t>Projektnummer:</t>
  </si>
  <si>
    <t>Seriennummer:</t>
  </si>
  <si>
    <t>Auftragsnummer:</t>
  </si>
  <si>
    <t>L300550</t>
  </si>
  <si>
    <t>L300551</t>
  </si>
  <si>
    <t>L302580</t>
  </si>
  <si>
    <t>L5.1004.6678.0</t>
  </si>
  <si>
    <t>5.1005.6000.0</t>
  </si>
  <si>
    <t>Milk for Use (+ Kabel 7,2m oder 15m)</t>
  </si>
  <si>
    <t>5.1543.1100.0</t>
  </si>
  <si>
    <t>Automatischer Milchfilter</t>
  </si>
  <si>
    <t>LDISCOVERY</t>
  </si>
  <si>
    <t>L5.4006.0000.1</t>
  </si>
  <si>
    <t>Discovery SW + Ladestation</t>
  </si>
  <si>
    <t>LFIN-611970</t>
  </si>
  <si>
    <t>Discovery Collector C1</t>
  </si>
  <si>
    <t>LCOLLECTOR-C2</t>
  </si>
  <si>
    <t>Discovery Collector C2</t>
  </si>
  <si>
    <t>↑ Reinigungsmittel nur durch HM ausliefern - GEFAHRGUT ↑</t>
  </si>
  <si>
    <t>↓ Reinigungsmittel nur durch HM ausliefern - GEFAHRGUT ↓</t>
  </si>
  <si>
    <t>Kundennr:</t>
  </si>
  <si>
    <t>Projektnr:</t>
  </si>
  <si>
    <t>Seriennr:</t>
  </si>
  <si>
    <t>Auftragsnr:</t>
  </si>
  <si>
    <t>*10</t>
  </si>
  <si>
    <t>Verbrauch</t>
  </si>
  <si>
    <t>Material 2.Austreiber(Kabel+Kappe+Plastikschraube)</t>
  </si>
  <si>
    <t>Klebeband (grau)</t>
  </si>
  <si>
    <t>Kabelbinder lang  36cm (Pck 100Stk)</t>
  </si>
  <si>
    <t>Schelle 47-51 mm (6/Collector)</t>
  </si>
  <si>
    <t>Schraube M8x120 mm (6/Collector)</t>
  </si>
  <si>
    <t>Rohr verzinkt ø 50mm, Länge 1,80m (1/Coll.)</t>
  </si>
  <si>
    <t>EE563282</t>
  </si>
  <si>
    <t xml:space="preserve">Gerade Streifen 1,50 m (Standard 6/Juno) </t>
  </si>
  <si>
    <t>EE561801</t>
  </si>
  <si>
    <t>Streifen Kurve (nur nach Angabe)</t>
  </si>
  <si>
    <t>VK</t>
  </si>
  <si>
    <t xml:space="preserve">BD999165 </t>
  </si>
  <si>
    <t>L9118504820</t>
  </si>
  <si>
    <t>L9118511890</t>
  </si>
  <si>
    <t>L9118511180</t>
  </si>
  <si>
    <t>Responder ISO-LD Plus</t>
  </si>
  <si>
    <t>Responder ISO-LD</t>
  </si>
  <si>
    <t>Responder ISO-LD Smart Neck</t>
  </si>
  <si>
    <t>Telefon:</t>
  </si>
  <si>
    <t>Lieferdatum:</t>
  </si>
  <si>
    <t>Projektierer:</t>
  </si>
  <si>
    <t>Vierkantrohr für zweiten Austreiber</t>
  </si>
  <si>
    <t>L5.9723.0000.1</t>
  </si>
  <si>
    <t>L9114700125</t>
  </si>
  <si>
    <t>Ventil Handansetzen/ Vakkumentlastung</t>
  </si>
  <si>
    <t>BD201032</t>
  </si>
  <si>
    <t>Pura - Steam Cleaner</t>
  </si>
  <si>
    <t>5.1005.3244.0</t>
  </si>
  <si>
    <t>Central uddercare pump mit Sauglanze und Sensor</t>
  </si>
  <si>
    <t>5.1005.3261.0</t>
  </si>
  <si>
    <t>GIOB Set</t>
  </si>
  <si>
    <t>5.1004.1655.0</t>
  </si>
  <si>
    <t>LC Wernberg</t>
  </si>
  <si>
    <t>R04R02C3</t>
  </si>
  <si>
    <t>R03R01F2</t>
  </si>
  <si>
    <t>R04R01C3</t>
  </si>
  <si>
    <t>R04R02C2</t>
  </si>
  <si>
    <t>R04R01C1</t>
  </si>
  <si>
    <t>R04R02C1</t>
  </si>
  <si>
    <t>R04R04B1</t>
  </si>
  <si>
    <t>WALA01</t>
  </si>
  <si>
    <t>R02R02F1</t>
  </si>
  <si>
    <t>R02R02F2</t>
  </si>
  <si>
    <t>R04R01B1</t>
  </si>
  <si>
    <t>R02R02G1</t>
  </si>
  <si>
    <t>L1T53F02</t>
  </si>
  <si>
    <t>L1T10F07</t>
  </si>
  <si>
    <t>L1T01F06</t>
  </si>
  <si>
    <t>L1T03F08</t>
  </si>
  <si>
    <t>L1T58F01</t>
  </si>
  <si>
    <t>L1T20F11</t>
  </si>
  <si>
    <t>L1T05F13</t>
  </si>
  <si>
    <t>L1T02F09</t>
  </si>
  <si>
    <t>R01R05B1</t>
  </si>
  <si>
    <t>L1T17F07</t>
  </si>
  <si>
    <t>L1T51F05</t>
  </si>
  <si>
    <t>L1T30F05</t>
  </si>
  <si>
    <t>L1T52F09</t>
  </si>
  <si>
    <t>L1T15F05</t>
  </si>
  <si>
    <t>R02R01B1</t>
  </si>
  <si>
    <t>R02R01A1</t>
  </si>
  <si>
    <t>R02R02A2</t>
  </si>
  <si>
    <t>R01R03C1</t>
  </si>
  <si>
    <t>L1T44F01</t>
  </si>
  <si>
    <t>L1T05F12</t>
  </si>
  <si>
    <t>L1T32F05</t>
  </si>
  <si>
    <t>L1T31F11</t>
  </si>
  <si>
    <t>L1T51F02</t>
  </si>
  <si>
    <t>R1R03C3</t>
  </si>
  <si>
    <t>R01R03G1</t>
  </si>
  <si>
    <t>R03R01D1</t>
  </si>
  <si>
    <t>R02R04B1</t>
  </si>
  <si>
    <t>R01R04D1</t>
  </si>
  <si>
    <t>L1T04F02</t>
  </si>
  <si>
    <t>R04R01C2</t>
  </si>
  <si>
    <t>L1T24F02</t>
  </si>
  <si>
    <t>L1T26F02</t>
  </si>
  <si>
    <t>L1T21F07</t>
  </si>
  <si>
    <t>L1T10F03</t>
  </si>
  <si>
    <t>L1T52F06</t>
  </si>
  <si>
    <t>L1T37F02</t>
  </si>
  <si>
    <t>L1T12F07</t>
  </si>
  <si>
    <t>L1T20F13</t>
  </si>
  <si>
    <t>L1T19F09</t>
  </si>
  <si>
    <t>L1T05F11</t>
  </si>
  <si>
    <t>R04R02B1</t>
  </si>
  <si>
    <t>R01R03A3</t>
  </si>
  <si>
    <t>R04R03B1</t>
  </si>
  <si>
    <t>L1T50F02</t>
  </si>
  <si>
    <t>R02R04E2</t>
  </si>
  <si>
    <t>L1T27F06</t>
  </si>
  <si>
    <t>L1T02F05</t>
  </si>
  <si>
    <t>L1T05F08</t>
  </si>
  <si>
    <t>L1T04F10</t>
  </si>
  <si>
    <t>L1T04F09</t>
  </si>
  <si>
    <t>R01R05B2</t>
  </si>
  <si>
    <t>L1T14F01</t>
  </si>
  <si>
    <t>L1T17F03</t>
  </si>
  <si>
    <t>R03R02D1</t>
  </si>
  <si>
    <t>R03R01B1</t>
  </si>
  <si>
    <t>R03R02B1</t>
  </si>
  <si>
    <t>R02R04A1</t>
  </si>
  <si>
    <t>R03R01A1</t>
  </si>
  <si>
    <t>L1T36F02</t>
  </si>
  <si>
    <t>L1T09F04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</si>
</sst>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u/>
      <sz val="10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7C8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16" xfId="0" applyBorder="1"/>
    <xf numFmtId="0" fontId="0" fillId="0" borderId="15" xfId="0" applyBorder="1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8" xfId="0" applyBorder="1"/>
    <xf numFmtId="0" fontId="0" fillId="0" borderId="1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0" fillId="0" borderId="23" xfId="0" applyBorder="1"/>
    <xf numFmtId="0" fontId="0" fillId="0" borderId="31" xfId="0" applyBorder="1"/>
    <xf numFmtId="0" fontId="0" fillId="0" borderId="13" xfId="0" applyBorder="1"/>
    <xf numFmtId="0" fontId="0" fillId="0" borderId="21" xfId="0" applyBorder="1"/>
    <xf numFmtId="0" fontId="2" fillId="0" borderId="7" xfId="0" applyFont="1" applyBorder="1"/>
    <xf numFmtId="0" fontId="2" fillId="0" borderId="16" xfId="0" applyFont="1" applyBorder="1"/>
    <xf numFmtId="0" fontId="2" fillId="0" borderId="24" xfId="0" applyFont="1" applyBorder="1"/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0" fillId="0" borderId="7" xfId="0" applyBorder="1"/>
    <xf numFmtId="0" fontId="0" fillId="2" borderId="16" xfId="0" applyFill="1" applyBorder="1"/>
    <xf numFmtId="0" fontId="0" fillId="0" borderId="16" xfId="0" applyBorder="1" applyAlignment="1">
      <alignment horizontal="left"/>
    </xf>
    <xf numFmtId="0" fontId="0" fillId="2" borderId="24" xfId="0" applyFill="1" applyBorder="1"/>
    <xf numFmtId="0" fontId="1" fillId="2" borderId="25" xfId="0" applyFont="1" applyFill="1" applyBorder="1"/>
    <xf numFmtId="0" fontId="0" fillId="0" borderId="8" xfId="0" applyBorder="1"/>
    <xf numFmtId="0" fontId="0" fillId="4" borderId="26" xfId="0" applyFill="1" applyBorder="1"/>
    <xf numFmtId="0" fontId="0" fillId="5" borderId="26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2" fillId="0" borderId="12" xfId="0" applyFont="1" applyBorder="1"/>
    <xf numFmtId="0" fontId="0" fillId="0" borderId="9" xfId="0" applyBorder="1"/>
    <xf numFmtId="0" fontId="0" fillId="0" borderId="24" xfId="0" applyBorder="1"/>
    <xf numFmtId="0" fontId="2" fillId="0" borderId="35" xfId="0" applyFont="1" applyBorder="1"/>
    <xf numFmtId="0" fontId="0" fillId="0" borderId="36" xfId="0" applyBorder="1"/>
    <xf numFmtId="0" fontId="0" fillId="0" borderId="37" xfId="0" applyBorder="1"/>
    <xf numFmtId="0" fontId="10" fillId="0" borderId="7" xfId="0" applyFont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38" xfId="0" applyFont="1" applyBorder="1" applyAlignment="1">
      <alignment vertical="center"/>
    </xf>
    <xf numFmtId="0" fontId="5" fillId="0" borderId="3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1" fillId="0" borderId="31" xfId="0" applyFont="1" applyBorder="1"/>
    <xf numFmtId="0" fontId="1" fillId="0" borderId="8" xfId="0" applyFont="1" applyBorder="1"/>
    <xf numFmtId="0" fontId="1" fillId="0" borderId="21" xfId="0" applyFont="1" applyBorder="1"/>
    <xf numFmtId="0" fontId="1" fillId="0" borderId="7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6" fillId="0" borderId="26" xfId="0" applyFont="1" applyBorder="1" applyAlignment="1">
      <alignment vertical="center"/>
    </xf>
    <xf numFmtId="0" fontId="5" fillId="0" borderId="34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4" borderId="38" xfId="0" applyFill="1" applyBorder="1"/>
    <xf numFmtId="0" fontId="0" fillId="5" borderId="38" xfId="0" applyFill="1" applyBorder="1"/>
    <xf numFmtId="0" fontId="9" fillId="4" borderId="38" xfId="0" applyFont="1" applyFill="1" applyBorder="1"/>
    <xf numFmtId="0" fontId="5" fillId="0" borderId="26" xfId="0" applyFont="1" applyBorder="1" applyAlignment="1">
      <alignment horizontal="center" vertical="center"/>
    </xf>
    <xf numFmtId="0" fontId="1" fillId="0" borderId="28" xfId="0" applyFont="1" applyBorder="1"/>
    <xf numFmtId="0" fontId="1" fillId="0" borderId="27" xfId="0" applyFont="1" applyBorder="1" applyAlignment="1">
      <alignment horizontal="center" vertical="top"/>
    </xf>
    <xf numFmtId="0" fontId="1" fillId="0" borderId="19" xfId="0" applyFont="1" applyBorder="1" applyAlignment="1">
      <alignment horizontal="left" vertical="center"/>
    </xf>
    <xf numFmtId="0" fontId="1" fillId="4" borderId="26" xfId="0" quotePrefix="1" applyFont="1" applyFill="1" applyBorder="1" applyAlignment="1">
      <alignment horizontal="center"/>
    </xf>
    <xf numFmtId="0" fontId="1" fillId="4" borderId="38" xfId="0" quotePrefix="1" applyFont="1" applyFill="1" applyBorder="1" applyAlignment="1">
      <alignment horizontal="center"/>
    </xf>
    <xf numFmtId="0" fontId="1" fillId="4" borderId="34" xfId="0" quotePrefix="1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2" borderId="38" xfId="0" applyFont="1" applyFill="1" applyBorder="1"/>
    <xf numFmtId="0" fontId="1" fillId="2" borderId="34" xfId="0" applyFont="1" applyFill="1" applyBorder="1"/>
    <xf numFmtId="0" fontId="11" fillId="2" borderId="34" xfId="0" applyFont="1" applyFill="1" applyBorder="1" applyAlignment="1">
      <alignment horizontal="center" vertical="center"/>
    </xf>
    <xf numFmtId="0" fontId="6" fillId="0" borderId="40" xfId="0" applyFont="1" applyBorder="1" applyAlignment="1">
      <alignment vertical="center"/>
    </xf>
    <xf numFmtId="0" fontId="5" fillId="0" borderId="39" xfId="0" applyFont="1" applyBorder="1" applyAlignment="1">
      <alignment horizontal="center" vertical="center"/>
    </xf>
    <xf numFmtId="0" fontId="1" fillId="2" borderId="26" xfId="0" quotePrefix="1" applyFont="1" applyFill="1" applyBorder="1" applyAlignment="1">
      <alignment horizontal="center"/>
    </xf>
    <xf numFmtId="0" fontId="1" fillId="2" borderId="38" xfId="0" quotePrefix="1" applyFont="1" applyFill="1" applyBorder="1" applyAlignment="1">
      <alignment horizontal="center"/>
    </xf>
    <xf numFmtId="0" fontId="1" fillId="2" borderId="34" xfId="0" quotePrefix="1" applyFont="1" applyFill="1" applyBorder="1" applyAlignment="1">
      <alignment horizontal="center"/>
    </xf>
    <xf numFmtId="0" fontId="1" fillId="2" borderId="16" xfId="0" quotePrefix="1" applyFont="1" applyFill="1" applyBorder="1" applyAlignment="1">
      <alignment horizontal="center" vertical="center"/>
    </xf>
    <xf numFmtId="0" fontId="1" fillId="0" borderId="16" xfId="0" quotePrefix="1" applyFont="1" applyBorder="1" applyAlignment="1">
      <alignment horizontal="center" vertical="center"/>
    </xf>
    <xf numFmtId="0" fontId="1" fillId="2" borderId="24" xfId="0" quotePrefix="1" applyFont="1" applyFill="1" applyBorder="1" applyAlignment="1">
      <alignment horizontal="center" vertical="center"/>
    </xf>
    <xf numFmtId="0" fontId="1" fillId="0" borderId="7" xfId="0" quotePrefix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5" borderId="7" xfId="0" applyFill="1" applyBorder="1"/>
    <xf numFmtId="0" fontId="1" fillId="5" borderId="10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0" fillId="5" borderId="16" xfId="0" applyFill="1" applyBorder="1"/>
    <xf numFmtId="0" fontId="1" fillId="5" borderId="14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0" borderId="16" xfId="0" applyFont="1" applyBorder="1"/>
    <xf numFmtId="0" fontId="10" fillId="0" borderId="1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0" fillId="4" borderId="16" xfId="0" applyFill="1" applyBorder="1"/>
    <xf numFmtId="0" fontId="1" fillId="4" borderId="16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5" borderId="10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0" fillId="0" borderId="12" xfId="0" applyBorder="1"/>
    <xf numFmtId="0" fontId="1" fillId="0" borderId="4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7" fillId="6" borderId="25" xfId="0" applyFont="1" applyFill="1" applyBorder="1" applyAlignment="1">
      <alignment horizontal="center"/>
    </xf>
    <xf numFmtId="0" fontId="8" fillId="6" borderId="26" xfId="0" applyFont="1" applyFill="1" applyBorder="1" applyAlignment="1">
      <alignment horizontal="center"/>
    </xf>
    <xf numFmtId="0" fontId="8" fillId="6" borderId="34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1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7" fillId="3" borderId="25" xfId="0" applyFont="1" applyFill="1" applyBorder="1" applyAlignment="1">
      <alignment horizontal="center"/>
    </xf>
    <xf numFmtId="0" fontId="7" fillId="3" borderId="26" xfId="0" applyFont="1" applyFill="1" applyBorder="1" applyAlignment="1">
      <alignment horizontal="center"/>
    </xf>
    <xf numFmtId="0" fontId="7" fillId="3" borderId="34" xfId="0" applyFont="1" applyFill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638030</xdr:colOff>
      <xdr:row>1</xdr:row>
      <xdr:rowOff>53780</xdr:rowOff>
    </xdr:from>
    <xdr:to>
      <xdr:col>6</xdr:col>
      <xdr:colOff>361657</xdr:colOff>
      <xdr:row>4</xdr:row>
      <xdr:rowOff>57880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FFCE528-663D-429B-B4F8-FE70419102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852" b="8408"/>
        <a:stretch>
          <a:fillRect/>
        </a:stretch>
      </xdr:blipFill>
      <xdr:spPr>
        <a:xfrm>
          <a:off x="6076805" y="330005"/>
          <a:ext cx="1407647" cy="625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638030</xdr:colOff>
      <xdr:row>1</xdr:row>
      <xdr:rowOff>53780</xdr:rowOff>
    </xdr:from>
    <xdr:to>
      <xdr:col>6</xdr:col>
      <xdr:colOff>359752</xdr:colOff>
      <xdr:row>4</xdr:row>
      <xdr:rowOff>46450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8B99009-521C-40D7-925A-E10BBE85E3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852" b="8408"/>
        <a:stretch>
          <a:fillRect/>
        </a:stretch>
      </xdr:blipFill>
      <xdr:spPr>
        <a:xfrm>
          <a:off x="6074900" y="333815"/>
          <a:ext cx="1411457" cy="6175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335135</xdr:colOff>
      <xdr:row>1</xdr:row>
      <xdr:rowOff>53780</xdr:rowOff>
    </xdr:from>
    <xdr:to>
      <xdr:col>5</xdr:col>
      <xdr:colOff>359586</xdr:colOff>
      <xdr:row>4</xdr:row>
      <xdr:rowOff>134080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C3BAC0C8-D110-4E54-86C1-68C885A5E0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852" b="8408"/>
        <a:stretch>
          <a:fillRect/>
        </a:stretch>
      </xdr:blipFill>
      <xdr:spPr>
        <a:xfrm>
          <a:off x="4981430" y="333815"/>
          <a:ext cx="1398122" cy="6175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335135</xdr:colOff>
      <xdr:row>1</xdr:row>
      <xdr:rowOff>53780</xdr:rowOff>
    </xdr:from>
    <xdr:to>
      <xdr:col>5</xdr:col>
      <xdr:colOff>333082</xdr:colOff>
      <xdr:row>4</xdr:row>
      <xdr:rowOff>130270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2DC8E80-130F-DB60-31B2-45EAD2CED6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852" b="8408"/>
        <a:stretch>
          <a:fillRect/>
        </a:stretch>
      </xdr:blipFill>
      <xdr:spPr>
        <a:xfrm>
          <a:off x="4987731" y="332203"/>
          <a:ext cx="1390502" cy="6279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335135</xdr:colOff>
      <xdr:row>1</xdr:row>
      <xdr:rowOff>53780</xdr:rowOff>
    </xdr:from>
    <xdr:to>
      <xdr:col>4</xdr:col>
      <xdr:colOff>230212</xdr:colOff>
      <xdr:row>4</xdr:row>
      <xdr:rowOff>54070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00C2F0B-7CE7-47F0-B059-743B3EBD33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852" b="8408"/>
        <a:stretch>
          <a:fillRect/>
        </a:stretch>
      </xdr:blipFill>
      <xdr:spPr>
        <a:xfrm>
          <a:off x="4981430" y="333815"/>
          <a:ext cx="1398122" cy="617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6DA4-286F-472A-BF13-0DDDFC25711B}">
  <sheetPr>
    <pageSetUpPr fitToPage="1"/>
  </sheetPr>
  <dimension ref="A1:G57"/>
  <sheetViews>
    <sheetView tabSelected="1" topLeftCell="A39" zoomScale="120" zoomScaleNormal="120" workbookViewId="0">
      <selection activeCell="C51" sqref="C51"/>
    </sheetView>
  </sheetViews>
  <sheetFormatPr defaultColWidth="10.6640625" defaultRowHeight="14.25" x14ac:dyDescent="0.45"/>
  <cols>
    <col min="1" max="1" width="16" bestFit="1" customWidth="1"/>
    <col min="2" max="2" width="11.86328125" bestFit="1" customWidth="1"/>
    <col min="3" max="3" width="48.59765625" bestFit="1" customWidth="1"/>
    <col min="4" max="7" width="7.73046875" customWidth="1"/>
    <col min="8" max="10" width="16.1328125" customWidth="1"/>
  </cols>
  <sheetData>
    <row r="1" spans="1:7" ht="21.4" thickBot="1" x14ac:dyDescent="0.7">
      <c r="A1" s="140" t="s">
        <v>113</v>
      </c>
      <c r="B1" s="141"/>
      <c r="C1" s="141"/>
      <c r="D1" s="141"/>
      <c r="E1" s="141"/>
      <c r="F1" s="141"/>
      <c r="G1" s="142"/>
    </row>
    <row r="2" spans="1:7" ht="16.899999999999999" customHeight="1" x14ac:dyDescent="0.45">
      <c r="A2" s="19" t="s">
        <v>114</v>
      </c>
      <c r="B2" s="144"/>
      <c r="C2" s="145"/>
      <c r="D2" s="6"/>
      <c r="E2" s="7"/>
      <c r="F2" s="7"/>
      <c r="G2" s="8"/>
    </row>
    <row r="3" spans="1:7" ht="16.899999999999999" customHeight="1" x14ac:dyDescent="0.45">
      <c r="A3" s="20" t="s">
        <v>115</v>
      </c>
      <c r="B3" s="146"/>
      <c r="C3" s="147"/>
      <c r="D3" s="9"/>
      <c r="G3" s="10"/>
    </row>
    <row r="4" spans="1:7" ht="16.899999999999999" customHeight="1" thickBot="1" x14ac:dyDescent="0.5">
      <c r="A4" s="21" t="s">
        <v>406</v>
      </c>
      <c r="B4" s="148"/>
      <c r="C4" s="149"/>
      <c r="D4" s="9"/>
      <c r="G4" s="10"/>
    </row>
    <row r="5" spans="1:7" ht="16.899999999999999" customHeight="1" thickBot="1" x14ac:dyDescent="0.5">
      <c r="A5" s="33" t="s">
        <v>368</v>
      </c>
      <c r="B5" s="118"/>
      <c r="C5" s="119"/>
      <c r="D5" s="11"/>
      <c r="E5" s="12"/>
      <c r="F5" s="12"/>
      <c r="G5" s="13"/>
    </row>
    <row r="6" spans="1:7" ht="16.899999999999999" customHeight="1" x14ac:dyDescent="0.45">
      <c r="A6" s="20" t="s">
        <v>369</v>
      </c>
      <c r="B6" s="114"/>
      <c r="C6" s="115"/>
      <c r="D6" s="49" t="s">
        <v>392</v>
      </c>
      <c r="E6" s="14"/>
      <c r="F6" s="143"/>
      <c r="G6" s="133"/>
    </row>
    <row r="7" spans="1:7" ht="16.899999999999999" customHeight="1" x14ac:dyDescent="0.45">
      <c r="A7" s="20" t="s">
        <v>370</v>
      </c>
      <c r="B7" s="114"/>
      <c r="C7" s="115"/>
      <c r="D7" s="50" t="s">
        <v>393</v>
      </c>
      <c r="E7" s="2"/>
      <c r="F7" s="138"/>
      <c r="G7" s="135"/>
    </row>
    <row r="8" spans="1:7" ht="16.899999999999999" customHeight="1" thickBot="1" x14ac:dyDescent="0.5">
      <c r="A8" s="21" t="s">
        <v>371</v>
      </c>
      <c r="B8" s="116"/>
      <c r="C8" s="117"/>
      <c r="D8" s="51" t="s">
        <v>394</v>
      </c>
      <c r="E8" s="15"/>
      <c r="F8" s="139"/>
      <c r="G8" s="137"/>
    </row>
    <row r="9" spans="1:7" s="5" customFormat="1" ht="25.15" customHeight="1" thickBot="1" x14ac:dyDescent="0.5">
      <c r="A9" s="45" t="s">
        <v>0</v>
      </c>
      <c r="B9" s="45" t="s">
        <v>116</v>
      </c>
      <c r="C9" s="45" t="s">
        <v>117</v>
      </c>
      <c r="D9" s="48" t="s">
        <v>1</v>
      </c>
      <c r="E9" s="46" t="s">
        <v>118</v>
      </c>
      <c r="F9" s="47" t="s">
        <v>119</v>
      </c>
      <c r="G9" s="46" t="s">
        <v>120</v>
      </c>
    </row>
    <row r="10" spans="1:7" ht="18" customHeight="1" x14ac:dyDescent="0.45">
      <c r="A10" s="24" t="s">
        <v>2</v>
      </c>
      <c r="B10" s="39" t="s">
        <v>407</v>
      </c>
      <c r="C10" s="24" t="s">
        <v>3</v>
      </c>
      <c r="D10" s="52"/>
      <c r="E10" s="83" t="s">
        <v>346</v>
      </c>
      <c r="F10" s="52"/>
      <c r="G10" s="52"/>
    </row>
    <row r="11" spans="1:7" ht="18" customHeight="1" x14ac:dyDescent="0.45">
      <c r="A11" s="25" t="s">
        <v>4</v>
      </c>
      <c r="B11" s="40" t="s">
        <v>408</v>
      </c>
      <c r="C11" s="25" t="s">
        <v>5</v>
      </c>
      <c r="D11" s="53"/>
      <c r="E11" s="80" t="s">
        <v>346</v>
      </c>
      <c r="F11" s="53"/>
      <c r="G11" s="53"/>
    </row>
    <row r="12" spans="1:7" ht="18" customHeight="1" x14ac:dyDescent="0.45">
      <c r="A12" s="1" t="s">
        <v>6</v>
      </c>
      <c r="B12" s="41" t="s">
        <v>409</v>
      </c>
      <c r="C12" s="1" t="s">
        <v>7</v>
      </c>
      <c r="D12" s="54"/>
      <c r="E12" s="81" t="s">
        <v>346</v>
      </c>
      <c r="F12" s="54"/>
      <c r="G12" s="54"/>
    </row>
    <row r="13" spans="1:7" ht="18" customHeight="1" x14ac:dyDescent="0.45">
      <c r="A13" s="25" t="s">
        <v>8</v>
      </c>
      <c r="B13" s="40" t="s">
        <v>410</v>
      </c>
      <c r="C13" s="25" t="s">
        <v>9</v>
      </c>
      <c r="D13" s="53"/>
      <c r="E13" s="80" t="s">
        <v>346</v>
      </c>
      <c r="F13" s="53"/>
      <c r="G13" s="53"/>
    </row>
    <row r="14" spans="1:7" ht="18" customHeight="1" x14ac:dyDescent="0.45">
      <c r="A14" s="1" t="s">
        <v>10</v>
      </c>
      <c r="B14" s="41" t="s">
        <v>411</v>
      </c>
      <c r="C14" s="1" t="s">
        <v>11</v>
      </c>
      <c r="D14" s="54"/>
      <c r="E14" s="81" t="s">
        <v>346</v>
      </c>
      <c r="F14" s="54"/>
      <c r="G14" s="54"/>
    </row>
    <row r="15" spans="1:7" ht="18" customHeight="1" x14ac:dyDescent="0.45">
      <c r="A15" s="25" t="s">
        <v>12</v>
      </c>
      <c r="B15" s="40" t="s">
        <v>412</v>
      </c>
      <c r="C15" s="25" t="s">
        <v>13</v>
      </c>
      <c r="D15" s="53"/>
      <c r="E15" s="80" t="s">
        <v>346</v>
      </c>
      <c r="F15" s="53"/>
      <c r="G15" s="53"/>
    </row>
    <row r="16" spans="1:7" ht="18" customHeight="1" x14ac:dyDescent="0.45">
      <c r="A16" s="1" t="s">
        <v>14</v>
      </c>
      <c r="B16" s="41" t="s">
        <v>413</v>
      </c>
      <c r="C16" s="1" t="s">
        <v>15</v>
      </c>
      <c r="D16" s="54" t="s">
        <v>346</v>
      </c>
      <c r="E16" s="54"/>
      <c r="F16" s="54"/>
      <c r="G16" s="54"/>
    </row>
    <row r="17" spans="1:7" ht="18" customHeight="1" x14ac:dyDescent="0.45">
      <c r="A17" s="25" t="s">
        <v>16</v>
      </c>
      <c r="B17" s="40" t="s">
        <v>372</v>
      </c>
      <c r="C17" s="25" t="s">
        <v>17</v>
      </c>
      <c r="D17" s="53" t="s">
        <v>346</v>
      </c>
      <c r="E17" s="53"/>
      <c r="F17" s="53"/>
      <c r="G17" s="53"/>
    </row>
    <row r="18" spans="1:7" ht="18" customHeight="1" x14ac:dyDescent="0.45">
      <c r="A18" s="1" t="s">
        <v>18</v>
      </c>
      <c r="B18" s="41" t="s">
        <v>414</v>
      </c>
      <c r="C18" s="1" t="s">
        <v>19</v>
      </c>
      <c r="D18" s="54" t="s">
        <v>346</v>
      </c>
      <c r="E18" s="54"/>
      <c r="F18" s="54"/>
      <c r="G18" s="54"/>
    </row>
    <row r="19" spans="1:7" ht="18" customHeight="1" x14ac:dyDescent="0.45">
      <c r="A19" s="25" t="s">
        <v>20</v>
      </c>
      <c r="B19" s="40" t="s">
        <v>414</v>
      </c>
      <c r="C19" s="25" t="s">
        <v>21</v>
      </c>
      <c r="D19" s="53" t="s">
        <v>346</v>
      </c>
      <c r="E19" s="53"/>
      <c r="F19" s="53"/>
      <c r="G19" s="53"/>
    </row>
    <row r="20" spans="1:7" ht="18" customHeight="1" x14ac:dyDescent="0.45">
      <c r="A20" s="1" t="s">
        <v>22</v>
      </c>
      <c r="B20" s="41" t="s">
        <v>414</v>
      </c>
      <c r="C20" s="1" t="s">
        <v>23</v>
      </c>
      <c r="D20" s="54" t="s">
        <v>346</v>
      </c>
      <c r="E20" s="54"/>
      <c r="F20" s="54"/>
      <c r="G20" s="54"/>
    </row>
    <row r="21" spans="1:7" ht="18" customHeight="1" x14ac:dyDescent="0.45">
      <c r="A21" s="25" t="s">
        <v>24</v>
      </c>
      <c r="B21" s="40" t="s">
        <v>415</v>
      </c>
      <c r="C21" s="25" t="s">
        <v>25</v>
      </c>
      <c r="D21" s="53" t="s">
        <v>346</v>
      </c>
      <c r="E21" s="53"/>
      <c r="F21" s="53"/>
      <c r="G21" s="53"/>
    </row>
    <row r="22" spans="1:7" ht="18" customHeight="1" x14ac:dyDescent="0.45">
      <c r="A22" s="1" t="s">
        <v>26</v>
      </c>
      <c r="B22" s="41" t="s">
        <v>416</v>
      </c>
      <c r="C22" s="1" t="s">
        <v>27</v>
      </c>
      <c r="D22" s="54" t="s">
        <v>346</v>
      </c>
      <c r="E22" s="54"/>
      <c r="F22" s="54"/>
      <c r="G22" s="54"/>
    </row>
    <row r="23" spans="1:7" ht="18" customHeight="1" x14ac:dyDescent="0.45">
      <c r="A23" s="25" t="s">
        <v>28</v>
      </c>
      <c r="B23" s="40" t="s">
        <v>417</v>
      </c>
      <c r="C23" s="25" t="s">
        <v>29</v>
      </c>
      <c r="D23" s="53">
        <v>2</v>
      </c>
      <c r="E23" s="80"/>
      <c r="F23" s="53"/>
      <c r="G23" s="53"/>
    </row>
    <row r="24" spans="1:7" ht="18" customHeight="1" x14ac:dyDescent="0.45">
      <c r="A24" s="1" t="s">
        <v>30</v>
      </c>
      <c r="B24" s="41" t="s">
        <v>372</v>
      </c>
      <c r="C24" s="1" t="s">
        <v>31</v>
      </c>
      <c r="D24" s="54" t="s">
        <v>346</v>
      </c>
      <c r="E24" s="54"/>
      <c r="F24" s="54"/>
      <c r="G24" s="54"/>
    </row>
    <row r="25" spans="1:7" ht="18" customHeight="1" x14ac:dyDescent="0.45">
      <c r="A25" s="25" t="s">
        <v>32</v>
      </c>
      <c r="B25" s="40" t="s">
        <v>372</v>
      </c>
      <c r="C25" s="25" t="s">
        <v>33</v>
      </c>
      <c r="D25" s="53">
        <v>2</v>
      </c>
      <c r="E25" s="53"/>
      <c r="F25" s="53"/>
      <c r="G25" s="53"/>
    </row>
    <row r="26" spans="1:7" ht="18" customHeight="1" x14ac:dyDescent="0.45">
      <c r="A26" s="1" t="s">
        <v>34</v>
      </c>
      <c r="B26" s="41" t="s">
        <v>418</v>
      </c>
      <c r="C26" s="1" t="s">
        <v>35</v>
      </c>
      <c r="D26" s="54" t="s">
        <v>346</v>
      </c>
      <c r="E26" s="54"/>
      <c r="F26" s="54"/>
      <c r="G26" s="54"/>
    </row>
    <row r="27" spans="1:7" ht="18" customHeight="1" x14ac:dyDescent="0.45">
      <c r="A27" s="25" t="s">
        <v>36</v>
      </c>
      <c r="B27" s="40" t="s">
        <v>418</v>
      </c>
      <c r="C27" s="25" t="s">
        <v>37</v>
      </c>
      <c r="D27" s="53" t="s">
        <v>346</v>
      </c>
      <c r="E27" s="53"/>
      <c r="F27" s="53"/>
      <c r="G27" s="53"/>
    </row>
    <row r="28" spans="1:7" ht="18" customHeight="1" x14ac:dyDescent="0.45">
      <c r="A28" s="1" t="s">
        <v>38</v>
      </c>
      <c r="B28" s="41" t="s">
        <v>419</v>
      </c>
      <c r="C28" s="1" t="s">
        <v>39</v>
      </c>
      <c r="D28" s="54">
        <v>2</v>
      </c>
      <c r="E28" s="54"/>
      <c r="F28" s="54"/>
      <c r="G28" s="54"/>
    </row>
    <row r="29" spans="1:7" ht="18" customHeight="1" x14ac:dyDescent="0.45">
      <c r="A29" s="25" t="s">
        <v>40</v>
      </c>
      <c r="B29" s="40" t="s">
        <v>420</v>
      </c>
      <c r="C29" s="25" t="s">
        <v>41</v>
      </c>
      <c r="D29" s="53">
        <v>2</v>
      </c>
      <c r="E29" s="80"/>
      <c r="F29" s="53"/>
      <c r="G29" s="53"/>
    </row>
    <row r="30" spans="1:7" ht="18" customHeight="1" x14ac:dyDescent="0.45">
      <c r="A30" s="1" t="s">
        <v>42</v>
      </c>
      <c r="B30" s="41" t="s">
        <v>372</v>
      </c>
      <c r="C30" s="1" t="s">
        <v>43</v>
      </c>
      <c r="D30" s="54">
        <v>0</v>
      </c>
      <c r="E30" s="54"/>
      <c r="F30" s="54"/>
      <c r="G30" s="54"/>
    </row>
    <row r="31" spans="1:7" ht="18" customHeight="1" x14ac:dyDescent="0.45">
      <c r="A31" s="25" t="s">
        <v>44</v>
      </c>
      <c r="B31" s="40" t="s">
        <v>421</v>
      </c>
      <c r="C31" s="25" t="s">
        <v>45</v>
      </c>
      <c r="D31" s="53" t="s">
        <v>346</v>
      </c>
      <c r="E31" s="53"/>
      <c r="F31" s="53"/>
      <c r="G31" s="53"/>
    </row>
    <row r="32" spans="1:7" ht="18" customHeight="1" x14ac:dyDescent="0.45">
      <c r="A32" s="1" t="s">
        <v>46</v>
      </c>
      <c r="B32" s="41" t="s">
        <v>422</v>
      </c>
      <c r="C32" s="1" t="s">
        <v>47</v>
      </c>
      <c r="D32" s="54" t="s">
        <v>346</v>
      </c>
      <c r="E32" s="54"/>
      <c r="F32" s="54"/>
      <c r="G32" s="54"/>
    </row>
    <row r="33" spans="1:7" ht="18" customHeight="1" x14ac:dyDescent="0.45">
      <c r="A33" s="25" t="s">
        <v>48</v>
      </c>
      <c r="B33" s="40" t="s">
        <v>423</v>
      </c>
      <c r="C33" s="25" t="s">
        <v>49</v>
      </c>
      <c r="D33" s="53" t="s">
        <v>346</v>
      </c>
      <c r="E33" s="53"/>
      <c r="F33" s="53"/>
      <c r="G33" s="53"/>
    </row>
    <row r="34" spans="1:7" ht="18" customHeight="1" x14ac:dyDescent="0.45">
      <c r="A34" s="1" t="s">
        <v>50</v>
      </c>
      <c r="B34" s="41" t="s">
        <v>424</v>
      </c>
      <c r="C34" s="1" t="s">
        <v>51</v>
      </c>
      <c r="D34" s="54" t="s">
        <v>346</v>
      </c>
      <c r="E34" s="54"/>
      <c r="F34" s="54"/>
      <c r="G34" s="54"/>
    </row>
    <row r="35" spans="1:7" ht="18" customHeight="1" x14ac:dyDescent="0.45">
      <c r="A35" s="25" t="s">
        <v>345</v>
      </c>
      <c r="B35" s="40" t="s">
        <v>425</v>
      </c>
      <c r="C35" s="25" t="s">
        <v>374</v>
      </c>
      <c r="D35" s="53">
        <v>1</v>
      </c>
      <c r="E35" s="80"/>
      <c r="F35" s="53"/>
      <c r="G35" s="53"/>
    </row>
    <row r="36" spans="1:7" ht="18" customHeight="1" x14ac:dyDescent="0.45">
      <c r="A36" s="1" t="s">
        <v>121</v>
      </c>
      <c r="B36" s="41" t="s">
        <v>423</v>
      </c>
      <c r="C36" s="1" t="s">
        <v>395</v>
      </c>
      <c r="D36" s="54">
        <v>1</v>
      </c>
      <c r="E36" s="81"/>
      <c r="F36" s="54"/>
      <c r="G36" s="54"/>
    </row>
    <row r="37" spans="1:7" ht="18" customHeight="1" x14ac:dyDescent="0.45">
      <c r="A37" s="25" t="s">
        <v>122</v>
      </c>
      <c r="B37" s="40" t="s">
        <v>426</v>
      </c>
      <c r="C37" s="25" t="s">
        <v>129</v>
      </c>
      <c r="D37" s="53">
        <v>1</v>
      </c>
      <c r="E37" s="80"/>
      <c r="F37" s="53"/>
      <c r="G37" s="53"/>
    </row>
    <row r="38" spans="1:7" ht="18" customHeight="1" x14ac:dyDescent="0.45">
      <c r="A38" s="1" t="s">
        <v>123</v>
      </c>
      <c r="B38" s="41" t="s">
        <v>427</v>
      </c>
      <c r="C38" s="1" t="s">
        <v>130</v>
      </c>
      <c r="D38" s="54">
        <v>1</v>
      </c>
      <c r="E38" s="81"/>
      <c r="F38" s="54"/>
      <c r="G38" s="54"/>
    </row>
    <row r="39" spans="1:7" ht="18" customHeight="1" x14ac:dyDescent="0.45">
      <c r="A39" s="25" t="s">
        <v>124</v>
      </c>
      <c r="B39" s="40" t="s">
        <v>427</v>
      </c>
      <c r="C39" s="25" t="s">
        <v>131</v>
      </c>
      <c r="D39" s="53">
        <v>1</v>
      </c>
      <c r="E39" s="80"/>
      <c r="F39" s="53"/>
      <c r="G39" s="53"/>
    </row>
    <row r="40" spans="1:7" ht="18" customHeight="1" x14ac:dyDescent="0.45">
      <c r="A40" s="1" t="s">
        <v>397</v>
      </c>
      <c r="B40" s="41" t="s">
        <v>428</v>
      </c>
      <c r="C40" s="1" t="s">
        <v>132</v>
      </c>
      <c r="D40" s="54">
        <v>1</v>
      </c>
      <c r="E40" s="81"/>
      <c r="F40" s="54"/>
      <c r="G40" s="54"/>
    </row>
    <row r="41" spans="1:7" ht="18" customHeight="1" x14ac:dyDescent="0.45">
      <c r="A41" s="25" t="s">
        <v>52</v>
      </c>
      <c r="B41" s="40" t="s">
        <v>428</v>
      </c>
      <c r="C41" s="25" t="s">
        <v>53</v>
      </c>
      <c r="D41" s="53" t="s">
        <v>346</v>
      </c>
      <c r="E41" s="53"/>
      <c r="F41" s="53"/>
      <c r="G41" s="53"/>
    </row>
    <row r="42" spans="1:7" ht="18" customHeight="1" x14ac:dyDescent="0.45">
      <c r="A42" s="1" t="s">
        <v>54</v>
      </c>
      <c r="B42" s="41" t="s">
        <v>429</v>
      </c>
      <c r="C42" s="1" t="s">
        <v>55</v>
      </c>
      <c r="D42" s="54" t="s">
        <v>346</v>
      </c>
      <c r="E42" s="54"/>
      <c r="F42" s="54"/>
      <c r="G42" s="54"/>
    </row>
    <row r="43" spans="1:7" ht="18" customHeight="1" x14ac:dyDescent="0.45">
      <c r="A43" s="25" t="s">
        <v>125</v>
      </c>
      <c r="B43" s="40" t="s">
        <v>430</v>
      </c>
      <c r="C43" s="25" t="s">
        <v>56</v>
      </c>
      <c r="D43" s="53">
        <v>0</v>
      </c>
      <c r="E43" s="80"/>
      <c r="F43" s="53"/>
      <c r="G43" s="53"/>
    </row>
    <row r="44" spans="1:7" ht="18" customHeight="1" x14ac:dyDescent="0.45">
      <c r="A44" s="1" t="s">
        <v>126</v>
      </c>
      <c r="B44" s="41" t="s">
        <v>431</v>
      </c>
      <c r="C44" s="1" t="s">
        <v>57</v>
      </c>
      <c r="D44" s="54">
        <v>1</v>
      </c>
      <c r="E44" s="54"/>
      <c r="F44" s="54"/>
      <c r="G44" s="54"/>
    </row>
    <row r="45" spans="1:7" ht="18" customHeight="1" x14ac:dyDescent="0.45">
      <c r="A45" s="25" t="s">
        <v>127</v>
      </c>
      <c r="B45" s="40" t="s">
        <v>432</v>
      </c>
      <c r="C45" s="25" t="s">
        <v>58</v>
      </c>
      <c r="D45" s="53">
        <v>3</v>
      </c>
      <c r="E45" s="80"/>
      <c r="F45" s="53"/>
      <c r="G45" s="53"/>
    </row>
    <row r="46" spans="1:7" ht="18" customHeight="1" x14ac:dyDescent="0.45">
      <c r="A46" s="1" t="s">
        <v>59</v>
      </c>
      <c r="B46" s="41" t="s">
        <v>433</v>
      </c>
      <c r="C46" s="1" t="s">
        <v>60</v>
      </c>
      <c r="D46" s="54">
        <v>1</v>
      </c>
      <c r="E46" s="81"/>
      <c r="F46" s="54"/>
      <c r="G46" s="54"/>
    </row>
    <row r="47" spans="1:7" ht="18" customHeight="1" x14ac:dyDescent="0.45">
      <c r="A47" s="25" t="s">
        <v>61</v>
      </c>
      <c r="B47" s="40" t="s">
        <v>434</v>
      </c>
      <c r="C47" s="25" t="s">
        <v>62</v>
      </c>
      <c r="D47" s="53">
        <v>1</v>
      </c>
      <c r="E47" s="80"/>
      <c r="F47" s="53"/>
      <c r="G47" s="53"/>
    </row>
    <row r="48" spans="1:7" ht="18" customHeight="1" x14ac:dyDescent="0.45">
      <c r="A48" s="1" t="s">
        <v>63</v>
      </c>
      <c r="B48" s="41" t="s">
        <v>435</v>
      </c>
      <c r="C48" s="1" t="s">
        <v>64</v>
      </c>
      <c r="D48" s="54" t="s">
        <v>346</v>
      </c>
      <c r="E48" s="54"/>
      <c r="F48" s="54"/>
      <c r="G48" s="54"/>
    </row>
    <row r="49" spans="1:7" ht="18" customHeight="1" x14ac:dyDescent="0.45">
      <c r="A49" s="25" t="s">
        <v>65</v>
      </c>
      <c r="B49" s="40" t="s">
        <v>411</v>
      </c>
      <c r="C49" s="25" t="s">
        <v>66</v>
      </c>
      <c r="D49" s="53">
        <v>1</v>
      </c>
      <c r="E49" s="80"/>
      <c r="F49" s="53"/>
      <c r="G49" s="53"/>
    </row>
    <row r="50" spans="1:7" ht="18" customHeight="1" x14ac:dyDescent="0.45">
      <c r="A50" s="1" t="s">
        <v>128</v>
      </c>
      <c r="B50" s="41" t="s">
        <v>436</v>
      </c>
      <c r="C50" s="1" t="s">
        <v>67</v>
      </c>
      <c r="D50" s="54" t="s">
        <v>346</v>
      </c>
      <c r="E50" s="54"/>
      <c r="F50" s="54"/>
      <c r="G50" s="54"/>
    </row>
    <row r="51" spans="1:7" ht="18" customHeight="1" x14ac:dyDescent="0.45">
      <c r="A51" s="25" t="s">
        <v>68</v>
      </c>
      <c r="B51" s="40" t="s">
        <v>421</v>
      </c>
      <c r="C51" s="25" t="s">
        <v>69</v>
      </c>
      <c r="D51" s="53">
        <v>2</v>
      </c>
      <c r="E51" s="80"/>
      <c r="F51" s="53"/>
      <c r="G51" s="53"/>
    </row>
    <row r="52" spans="1:7" ht="18" customHeight="1" x14ac:dyDescent="0.45">
      <c r="A52" s="1" t="s">
        <v>70</v>
      </c>
      <c r="B52" s="41" t="s">
        <v>437</v>
      </c>
      <c r="C52" s="1" t="s">
        <v>71</v>
      </c>
      <c r="D52" s="54">
        <v>0</v>
      </c>
      <c r="E52" s="81"/>
      <c r="F52" s="54"/>
      <c r="G52" s="54"/>
    </row>
    <row r="53" spans="1:7" ht="18" customHeight="1" x14ac:dyDescent="0.45">
      <c r="A53" s="25" t="s">
        <v>72</v>
      </c>
      <c r="B53" s="40" t="s">
        <v>438</v>
      </c>
      <c r="C53" s="25" t="s">
        <v>73</v>
      </c>
      <c r="D53" s="53">
        <v>1</v>
      </c>
      <c r="E53" s="80"/>
      <c r="F53" s="53"/>
      <c r="G53" s="53"/>
    </row>
    <row r="54" spans="1:7" ht="18" customHeight="1" x14ac:dyDescent="0.45">
      <c r="A54" s="1" t="s">
        <v>74</v>
      </c>
      <c r="B54" s="41" t="s">
        <v>439</v>
      </c>
      <c r="C54" s="1" t="s">
        <v>75</v>
      </c>
      <c r="D54" s="54">
        <v>1</v>
      </c>
      <c r="E54" s="81"/>
      <c r="F54" s="54"/>
      <c r="G54" s="54"/>
    </row>
    <row r="55" spans="1:7" ht="18" customHeight="1" x14ac:dyDescent="0.45">
      <c r="A55" s="25" t="s">
        <v>76</v>
      </c>
      <c r="B55" s="40" t="s">
        <v>440</v>
      </c>
      <c r="C55" s="25" t="s">
        <v>77</v>
      </c>
      <c r="D55" s="53">
        <v>12</v>
      </c>
      <c r="E55" s="80"/>
      <c r="F55" s="53"/>
      <c r="G55" s="53"/>
    </row>
    <row r="56" spans="1:7" ht="18" customHeight="1" x14ac:dyDescent="0.45">
      <c r="A56" s="26">
        <v>369975</v>
      </c>
      <c r="B56" s="41" t="s">
        <v>373</v>
      </c>
      <c r="C56" s="1" t="s">
        <v>376</v>
      </c>
      <c r="D56" s="54">
        <v>6</v>
      </c>
      <c r="E56" s="81"/>
      <c r="F56" s="54"/>
      <c r="G56" s="54"/>
    </row>
    <row r="57" spans="1:7" ht="18" customHeight="1" thickBot="1" x14ac:dyDescent="0.5">
      <c r="A57" s="27" t="s">
        <v>78</v>
      </c>
      <c r="B57" s="42" t="s">
        <v>372</v>
      </c>
      <c r="C57" s="27" t="s">
        <v>79</v>
      </c>
      <c r="D57" s="55">
        <v>1</v>
      </c>
      <c r="E57" s="82"/>
      <c r="F57" s="55"/>
      <c r="G57" s="55"/>
    </row>
  </sheetData>
  <mergeCells count="7">
    <mergeCell ref="F7:G7"/>
    <mergeCell ref="F8:G8"/>
    <mergeCell ref="A1:G1"/>
    <mergeCell ref="F6:G6"/>
    <mergeCell ref="B2:C2"/>
    <mergeCell ref="B3:C3"/>
    <mergeCell ref="B4:C4"/>
  </mergeCells>
  <pageMargins left="0.59055118110236215" right="0.39370078740157483" top="0.39370078740157483" bottom="0.39370078740157483" header="0" footer="0"/>
  <pageSetup paperSize="9" scale="87" fitToHeight="0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A408-4AC4-441D-B090-61CCE0AA6BFC}">
  <sheetPr>
    <pageSetUpPr fitToPage="1"/>
  </sheetPr>
  <dimension ref="A1:G34"/>
  <sheetViews>
    <sheetView topLeftCell="A18" zoomScale="120" zoomScaleNormal="120" workbookViewId="0">
      <selection activeCell="D2" sqref="D2:G5"/>
    </sheetView>
  </sheetViews>
  <sheetFormatPr defaultColWidth="10.6640625" defaultRowHeight="14.25" x14ac:dyDescent="0.45"/>
  <cols>
    <col min="1" max="1" width="16.265625" bestFit="1" customWidth="1"/>
    <col min="2" max="2" width="11.1328125" bestFit="1" customWidth="1"/>
    <col min="3" max="3" width="52.73046875" bestFit="1" customWidth="1"/>
    <col min="4" max="7" width="7.73046875" customWidth="1"/>
  </cols>
  <sheetData>
    <row r="1" spans="1:7" ht="21.4" thickBot="1" x14ac:dyDescent="0.7">
      <c r="A1" s="140" t="str">
        <f>Montage!A1</f>
        <v>Roboterauslieferungsliste 01.26</v>
      </c>
      <c r="B1" s="141"/>
      <c r="C1" s="141"/>
      <c r="D1" s="141"/>
      <c r="E1" s="141"/>
      <c r="F1" s="141"/>
      <c r="G1" s="142"/>
    </row>
    <row r="2" spans="1:7" ht="16.899999999999999" customHeight="1" x14ac:dyDescent="0.45">
      <c r="A2" s="19" t="s">
        <v>114</v>
      </c>
      <c r="B2" s="16" t="str">
        <f>IF(Montage!B2=0,"",Montage!B2)</f>
        <v/>
      </c>
      <c r="C2" s="14"/>
      <c r="D2" s="6"/>
      <c r="E2" s="7"/>
      <c r="F2" s="7"/>
      <c r="G2" s="8"/>
    </row>
    <row r="3" spans="1:7" ht="16.899999999999999" customHeight="1" x14ac:dyDescent="0.45">
      <c r="A3" s="20" t="s">
        <v>115</v>
      </c>
      <c r="B3" s="17" t="str">
        <f>IF(Montage!B3=0,"",Montage!B3)</f>
        <v/>
      </c>
      <c r="C3" s="2"/>
      <c r="D3" s="9"/>
      <c r="G3" s="10"/>
    </row>
    <row r="4" spans="1:7" ht="16.899999999999999" customHeight="1" thickBot="1" x14ac:dyDescent="0.5">
      <c r="A4" s="21" t="str">
        <f>IF(Montage!A4=0,"",Montage!A4)</f>
        <v>LC Wernberg</v>
      </c>
      <c r="B4" s="18" t="str">
        <f>IF(Montage!B4=0,"",Montage!B4)</f>
        <v/>
      </c>
      <c r="C4" s="15"/>
      <c r="D4" s="9"/>
      <c r="G4" s="10"/>
    </row>
    <row r="5" spans="1:7" ht="16.899999999999999" customHeight="1" thickBot="1" x14ac:dyDescent="0.5">
      <c r="A5" s="33" t="s">
        <v>368</v>
      </c>
      <c r="B5" s="29" t="str">
        <f>IF(Montage!B5=0,"",Montage!B5)</f>
        <v/>
      </c>
      <c r="C5" s="34"/>
      <c r="D5" s="11"/>
      <c r="E5" s="12"/>
      <c r="F5" s="12"/>
      <c r="G5" s="13"/>
    </row>
    <row r="6" spans="1:7" ht="16.899999999999999" customHeight="1" x14ac:dyDescent="0.45">
      <c r="A6" s="20" t="s">
        <v>369</v>
      </c>
      <c r="B6" s="17" t="str">
        <f>IF(Montage!B6=0,"",Montage!B6)</f>
        <v/>
      </c>
      <c r="C6" s="2"/>
      <c r="D6" s="49" t="s">
        <v>392</v>
      </c>
      <c r="E6" s="14"/>
      <c r="F6" s="150" t="str">
        <f>IF(Montage!F6=0,"",Montage!F6)</f>
        <v/>
      </c>
      <c r="G6" s="133"/>
    </row>
    <row r="7" spans="1:7" ht="16.899999999999999" customHeight="1" x14ac:dyDescent="0.45">
      <c r="A7" s="20" t="s">
        <v>370</v>
      </c>
      <c r="B7" s="17" t="str">
        <f>IF(Montage!B7=0,"",Montage!B7)</f>
        <v/>
      </c>
      <c r="C7" s="2"/>
      <c r="D7" s="50" t="s">
        <v>393</v>
      </c>
      <c r="E7" s="2"/>
      <c r="F7" s="151" t="str">
        <f>IF(Montage!F7=0,"",Montage!F7)</f>
        <v/>
      </c>
      <c r="G7" s="135"/>
    </row>
    <row r="8" spans="1:7" ht="16.899999999999999" customHeight="1" thickBot="1" x14ac:dyDescent="0.5">
      <c r="A8" s="36" t="s">
        <v>371</v>
      </c>
      <c r="B8" s="37" t="str">
        <f>IF(Montage!B8=0,"",Montage!B8)</f>
        <v/>
      </c>
      <c r="C8" s="38"/>
      <c r="D8" s="51" t="s">
        <v>394</v>
      </c>
      <c r="E8" s="38"/>
      <c r="F8" s="152" t="str">
        <f>IF(Montage!F8=0,"",Montage!F8)</f>
        <v/>
      </c>
      <c r="G8" s="153"/>
    </row>
    <row r="9" spans="1:7" s="5" customFormat="1" ht="25.15" customHeight="1" thickBot="1" x14ac:dyDescent="0.5">
      <c r="A9" s="45" t="s">
        <v>0</v>
      </c>
      <c r="B9" s="56" t="s">
        <v>116</v>
      </c>
      <c r="C9" s="45" t="s">
        <v>117</v>
      </c>
      <c r="D9" s="48" t="s">
        <v>1</v>
      </c>
      <c r="E9" s="46" t="s">
        <v>118</v>
      </c>
      <c r="F9" s="46" t="s">
        <v>119</v>
      </c>
      <c r="G9" s="57" t="s">
        <v>120</v>
      </c>
    </row>
    <row r="10" spans="1:7" ht="18" customHeight="1" x14ac:dyDescent="0.45">
      <c r="A10" s="24" t="s">
        <v>80</v>
      </c>
      <c r="B10" s="39" t="s">
        <v>373</v>
      </c>
      <c r="C10" s="24" t="s">
        <v>375</v>
      </c>
      <c r="D10" s="52"/>
      <c r="E10" s="52"/>
      <c r="F10" s="52"/>
      <c r="G10" s="52"/>
    </row>
    <row r="11" spans="1:7" ht="18" customHeight="1" x14ac:dyDescent="0.45">
      <c r="A11" s="25" t="s">
        <v>81</v>
      </c>
      <c r="B11" s="40" t="s">
        <v>441</v>
      </c>
      <c r="C11" s="25" t="s">
        <v>82</v>
      </c>
      <c r="D11" s="53"/>
      <c r="E11" s="53"/>
      <c r="F11" s="53"/>
      <c r="G11" s="53"/>
    </row>
    <row r="12" spans="1:7" ht="18" customHeight="1" x14ac:dyDescent="0.45">
      <c r="A12" s="1" t="s">
        <v>83</v>
      </c>
      <c r="B12" s="41" t="s">
        <v>441</v>
      </c>
      <c r="C12" s="1" t="s">
        <v>84</v>
      </c>
      <c r="D12" s="54"/>
      <c r="E12" s="54"/>
      <c r="F12" s="54"/>
      <c r="G12" s="54"/>
    </row>
    <row r="13" spans="1:7" ht="18" customHeight="1" x14ac:dyDescent="0.45">
      <c r="A13" s="25" t="s">
        <v>85</v>
      </c>
      <c r="B13" s="40" t="s">
        <v>414</v>
      </c>
      <c r="C13" s="25" t="s">
        <v>86</v>
      </c>
      <c r="D13" s="53"/>
      <c r="E13" s="53"/>
      <c r="F13" s="53"/>
      <c r="G13" s="53"/>
    </row>
    <row r="14" spans="1:7" ht="18" customHeight="1" x14ac:dyDescent="0.45">
      <c r="A14" s="1" t="s">
        <v>133</v>
      </c>
      <c r="B14" s="41" t="s">
        <v>442</v>
      </c>
      <c r="C14" s="1" t="s">
        <v>87</v>
      </c>
      <c r="D14" s="54"/>
      <c r="E14" s="54"/>
      <c r="F14" s="54"/>
      <c r="G14" s="54"/>
    </row>
    <row r="15" spans="1:7" ht="18" customHeight="1" x14ac:dyDescent="0.45">
      <c r="A15" s="25" t="s">
        <v>134</v>
      </c>
      <c r="B15" s="40" t="s">
        <v>443</v>
      </c>
      <c r="C15" s="25" t="s">
        <v>88</v>
      </c>
      <c r="D15" s="53"/>
      <c r="E15" s="53"/>
      <c r="F15" s="53"/>
      <c r="G15" s="53"/>
    </row>
    <row r="16" spans="1:7" ht="18" customHeight="1" x14ac:dyDescent="0.45">
      <c r="A16" s="1" t="s">
        <v>135</v>
      </c>
      <c r="B16" s="41" t="s">
        <v>444</v>
      </c>
      <c r="C16" s="1" t="s">
        <v>89</v>
      </c>
      <c r="D16" s="54"/>
      <c r="E16" s="54"/>
      <c r="F16" s="54"/>
      <c r="G16" s="54"/>
    </row>
    <row r="17" spans="1:7" ht="18" customHeight="1" x14ac:dyDescent="0.45">
      <c r="A17" s="25" t="s">
        <v>136</v>
      </c>
      <c r="B17" s="40" t="s">
        <v>445</v>
      </c>
      <c r="C17" s="25" t="s">
        <v>90</v>
      </c>
      <c r="D17" s="53"/>
      <c r="E17" s="53"/>
      <c r="F17" s="53"/>
      <c r="G17" s="53"/>
    </row>
    <row r="18" spans="1:7" ht="18" customHeight="1" x14ac:dyDescent="0.45">
      <c r="A18" s="1" t="s">
        <v>91</v>
      </c>
      <c r="B18" s="41" t="s">
        <v>372</v>
      </c>
      <c r="C18" s="1" t="s">
        <v>92</v>
      </c>
      <c r="D18" s="54"/>
      <c r="E18" s="54"/>
      <c r="F18" s="54"/>
      <c r="G18" s="54"/>
    </row>
    <row r="19" spans="1:7" ht="18" customHeight="1" x14ac:dyDescent="0.45">
      <c r="A19" s="25" t="s">
        <v>137</v>
      </c>
      <c r="B19" s="40" t="s">
        <v>446</v>
      </c>
      <c r="C19" s="25" t="s">
        <v>93</v>
      </c>
      <c r="D19" s="53"/>
      <c r="E19" s="53"/>
      <c r="F19" s="53"/>
      <c r="G19" s="53"/>
    </row>
    <row r="20" spans="1:7" ht="18" customHeight="1" x14ac:dyDescent="0.45">
      <c r="A20" s="1" t="s">
        <v>138</v>
      </c>
      <c r="B20" s="41" t="s">
        <v>447</v>
      </c>
      <c r="C20" s="1" t="s">
        <v>94</v>
      </c>
      <c r="D20" s="54"/>
      <c r="E20" s="54"/>
      <c r="F20" s="54"/>
      <c r="G20" s="54"/>
    </row>
    <row r="21" spans="1:7" ht="18" customHeight="1" x14ac:dyDescent="0.45">
      <c r="A21" s="25" t="s">
        <v>139</v>
      </c>
      <c r="B21" s="40" t="s">
        <v>448</v>
      </c>
      <c r="C21" s="25" t="s">
        <v>95</v>
      </c>
      <c r="D21" s="53"/>
      <c r="E21" s="53"/>
      <c r="F21" s="53"/>
      <c r="G21" s="53"/>
    </row>
    <row r="22" spans="1:7" ht="18" customHeight="1" x14ac:dyDescent="0.45">
      <c r="A22" s="1" t="s">
        <v>140</v>
      </c>
      <c r="B22" s="41" t="s">
        <v>449</v>
      </c>
      <c r="C22" s="1" t="s">
        <v>96</v>
      </c>
      <c r="D22" s="54"/>
      <c r="E22" s="54"/>
      <c r="F22" s="54"/>
      <c r="G22" s="54"/>
    </row>
    <row r="23" spans="1:7" ht="18" customHeight="1" x14ac:dyDescent="0.45">
      <c r="A23" s="25" t="s">
        <v>97</v>
      </c>
      <c r="B23" s="40" t="s">
        <v>450</v>
      </c>
      <c r="C23" s="25" t="s">
        <v>98</v>
      </c>
      <c r="D23" s="53"/>
      <c r="E23" s="53"/>
      <c r="F23" s="53"/>
      <c r="G23" s="53"/>
    </row>
    <row r="24" spans="1:7" ht="18" customHeight="1" x14ac:dyDescent="0.45">
      <c r="A24" s="1" t="s">
        <v>141</v>
      </c>
      <c r="B24" s="41" t="s">
        <v>426</v>
      </c>
      <c r="C24" s="1" t="s">
        <v>99</v>
      </c>
      <c r="D24" s="54"/>
      <c r="E24" s="54"/>
      <c r="F24" s="54"/>
      <c r="G24" s="54"/>
    </row>
    <row r="25" spans="1:7" ht="18" customHeight="1" x14ac:dyDescent="0.45">
      <c r="A25" s="25" t="s">
        <v>142</v>
      </c>
      <c r="B25" s="40" t="s">
        <v>451</v>
      </c>
      <c r="C25" s="25" t="s">
        <v>100</v>
      </c>
      <c r="D25" s="53"/>
      <c r="E25" s="53"/>
      <c r="F25" s="53"/>
      <c r="G25" s="53"/>
    </row>
    <row r="26" spans="1:7" ht="18" customHeight="1" x14ac:dyDescent="0.45">
      <c r="A26" s="1" t="s">
        <v>101</v>
      </c>
      <c r="B26" s="41" t="s">
        <v>452</v>
      </c>
      <c r="C26" s="1" t="s">
        <v>102</v>
      </c>
      <c r="D26" s="54"/>
      <c r="E26" s="54"/>
      <c r="F26" s="54"/>
      <c r="G26" s="54"/>
    </row>
    <row r="27" spans="1:7" ht="18" customHeight="1" x14ac:dyDescent="0.45">
      <c r="A27" s="25" t="s">
        <v>103</v>
      </c>
      <c r="B27" s="40" t="s">
        <v>453</v>
      </c>
      <c r="C27" s="25" t="s">
        <v>104</v>
      </c>
      <c r="D27" s="53"/>
      <c r="E27" s="53"/>
      <c r="F27" s="53"/>
      <c r="G27" s="53"/>
    </row>
    <row r="28" spans="1:7" ht="18" customHeight="1" x14ac:dyDescent="0.45">
      <c r="A28" s="1" t="s">
        <v>143</v>
      </c>
      <c r="B28" s="41" t="s">
        <v>454</v>
      </c>
      <c r="C28" s="1" t="s">
        <v>105</v>
      </c>
      <c r="D28" s="54"/>
      <c r="E28" s="54"/>
      <c r="F28" s="54"/>
      <c r="G28" s="54"/>
    </row>
    <row r="29" spans="1:7" ht="18" customHeight="1" x14ac:dyDescent="0.45">
      <c r="A29" s="25" t="s">
        <v>144</v>
      </c>
      <c r="B29" s="40" t="s">
        <v>436</v>
      </c>
      <c r="C29" s="25" t="s">
        <v>67</v>
      </c>
      <c r="D29" s="53"/>
      <c r="E29" s="53"/>
      <c r="F29" s="53"/>
      <c r="G29" s="53"/>
    </row>
    <row r="30" spans="1:7" ht="18" customHeight="1" x14ac:dyDescent="0.45">
      <c r="A30" s="1" t="s">
        <v>63</v>
      </c>
      <c r="B30" s="41" t="s">
        <v>435</v>
      </c>
      <c r="C30" s="1" t="s">
        <v>106</v>
      </c>
      <c r="D30" s="54"/>
      <c r="E30" s="54"/>
      <c r="F30" s="54"/>
      <c r="G30" s="54"/>
    </row>
    <row r="31" spans="1:7" ht="18" customHeight="1" x14ac:dyDescent="0.45">
      <c r="A31" s="25" t="s">
        <v>145</v>
      </c>
      <c r="B31" s="40" t="s">
        <v>455</v>
      </c>
      <c r="C31" s="25" t="s">
        <v>107</v>
      </c>
      <c r="D31" s="53"/>
      <c r="E31" s="53"/>
      <c r="F31" s="53"/>
      <c r="G31" s="53"/>
    </row>
    <row r="32" spans="1:7" ht="18" customHeight="1" x14ac:dyDescent="0.45">
      <c r="A32" s="1" t="s">
        <v>108</v>
      </c>
      <c r="B32" s="41" t="s">
        <v>456</v>
      </c>
      <c r="C32" s="1" t="s">
        <v>109</v>
      </c>
      <c r="D32" s="54"/>
      <c r="E32" s="54"/>
      <c r="F32" s="54"/>
      <c r="G32" s="54"/>
    </row>
    <row r="33" spans="1:7" ht="18" customHeight="1" x14ac:dyDescent="0.45">
      <c r="A33" s="25" t="s">
        <v>110</v>
      </c>
      <c r="B33" s="40" t="s">
        <v>457</v>
      </c>
      <c r="C33" s="25" t="s">
        <v>111</v>
      </c>
      <c r="D33" s="53"/>
      <c r="E33" s="53"/>
      <c r="F33" s="53"/>
      <c r="G33" s="53"/>
    </row>
    <row r="34" spans="1:7" ht="18" customHeight="1" thickBot="1" x14ac:dyDescent="0.5">
      <c r="A34" s="35" t="s">
        <v>146</v>
      </c>
      <c r="B34" s="58" t="s">
        <v>458</v>
      </c>
      <c r="C34" s="35" t="s">
        <v>112</v>
      </c>
      <c r="D34" s="59"/>
      <c r="E34" s="59"/>
      <c r="F34" s="59"/>
      <c r="G34" s="59"/>
    </row>
  </sheetData>
  <mergeCells count="4">
    <mergeCell ref="A1:G1"/>
    <mergeCell ref="F6:G6"/>
    <mergeCell ref="F7:G7"/>
    <mergeCell ref="F8:G8"/>
  </mergeCells>
  <pageMargins left="0.59055118110236215" right="0.39370078740157483" top="0.39370078740157483" bottom="0.39370078740157483" header="0" footer="0"/>
  <pageSetup paperSize="9" scale="83" fitToHeight="0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5757B-98E7-4B05-8F9B-B87588B0F215}">
  <sheetPr>
    <pageSetUpPr fitToPage="1"/>
  </sheetPr>
  <dimension ref="A1:F79"/>
  <sheetViews>
    <sheetView topLeftCell="A62" zoomScale="115" zoomScaleNormal="115" workbookViewId="0">
      <selection activeCell="C35" sqref="C35"/>
    </sheetView>
  </sheetViews>
  <sheetFormatPr defaultColWidth="10.6640625" defaultRowHeight="14.25" x14ac:dyDescent="0.45"/>
  <cols>
    <col min="1" max="1" width="16.265625" bestFit="1" customWidth="1"/>
    <col min="2" max="2" width="11.59765625" bestFit="1" customWidth="1"/>
    <col min="3" max="3" width="44.86328125" bestFit="1" customWidth="1"/>
    <col min="4" max="4" width="12.265625" customWidth="1"/>
    <col min="5" max="5" width="8.1328125" customWidth="1"/>
    <col min="6" max="6" width="7.86328125" customWidth="1"/>
  </cols>
  <sheetData>
    <row r="1" spans="1:6" ht="21.4" thickBot="1" x14ac:dyDescent="0.7">
      <c r="A1" s="129" t="str">
        <f>Montage!A1</f>
        <v>Roboterauslieferungsliste 01.26</v>
      </c>
      <c r="B1" s="130"/>
      <c r="C1" s="130"/>
      <c r="D1" s="130"/>
      <c r="E1" s="130"/>
      <c r="F1" s="131"/>
    </row>
    <row r="2" spans="1:6" x14ac:dyDescent="0.45">
      <c r="A2" s="19" t="s">
        <v>114</v>
      </c>
      <c r="B2" s="16" t="str">
        <f>IF(Montage!B2=0,"",Montage!B2)</f>
        <v/>
      </c>
      <c r="C2" s="14"/>
      <c r="D2" s="6"/>
      <c r="E2" s="7"/>
      <c r="F2" s="8"/>
    </row>
    <row r="3" spans="1:6" x14ac:dyDescent="0.45">
      <c r="A3" s="20" t="s">
        <v>115</v>
      </c>
      <c r="B3" s="17" t="str">
        <f>IF(Montage!B3=0,"",Montage!B3)</f>
        <v/>
      </c>
      <c r="C3" s="2"/>
      <c r="D3" s="9"/>
      <c r="F3" s="10"/>
    </row>
    <row r="4" spans="1:6" ht="14.65" thickBot="1" x14ac:dyDescent="0.5">
      <c r="A4" s="21" t="str">
        <f>IF(Montage!A4=0,"",Montage!A4)</f>
        <v>LC Wernberg</v>
      </c>
      <c r="B4" s="18" t="str">
        <f>IF(Montage!B4=0,"",Montage!B4)</f>
        <v/>
      </c>
      <c r="C4" s="15"/>
      <c r="D4" s="9"/>
      <c r="F4" s="10"/>
    </row>
    <row r="5" spans="1:6" ht="14.65" thickBot="1" x14ac:dyDescent="0.5">
      <c r="A5" s="33" t="s">
        <v>368</v>
      </c>
      <c r="B5" s="29" t="str">
        <f>IF(Montage!B5=0,"",Montage!B5)</f>
        <v/>
      </c>
      <c r="C5" s="34"/>
      <c r="D5" s="11"/>
      <c r="E5" s="12"/>
      <c r="F5" s="13"/>
    </row>
    <row r="6" spans="1:6" x14ac:dyDescent="0.45">
      <c r="A6" s="20" t="s">
        <v>369</v>
      </c>
      <c r="B6" s="17" t="str">
        <f>IF(Montage!B6=0,"",Montage!B6)</f>
        <v/>
      </c>
      <c r="C6" s="2"/>
      <c r="D6" s="65" t="s">
        <v>392</v>
      </c>
      <c r="E6" s="132" t="str">
        <f>IF(Montage!F6=0,"",Montage!F6)</f>
        <v/>
      </c>
      <c r="F6" s="133"/>
    </row>
    <row r="7" spans="1:6" x14ac:dyDescent="0.45">
      <c r="A7" s="20" t="s">
        <v>370</v>
      </c>
      <c r="B7" s="17" t="str">
        <f>IF(Montage!B7=0,"",Montage!B7)</f>
        <v/>
      </c>
      <c r="C7" s="2"/>
      <c r="D7" s="66" t="s">
        <v>393</v>
      </c>
      <c r="E7" s="134" t="str">
        <f>IF(Montage!F7=0,"",Montage!F7)</f>
        <v/>
      </c>
      <c r="F7" s="135"/>
    </row>
    <row r="8" spans="1:6" ht="14.65" thickBot="1" x14ac:dyDescent="0.5">
      <c r="A8" s="21" t="s">
        <v>371</v>
      </c>
      <c r="B8" s="37" t="str">
        <f>IF(Montage!B8=0,"",Montage!B8)</f>
        <v/>
      </c>
      <c r="C8" s="15"/>
      <c r="D8" s="64" t="s">
        <v>394</v>
      </c>
      <c r="E8" s="136" t="str">
        <f>IF(Montage!F8=0,"",Montage!F8)</f>
        <v/>
      </c>
      <c r="F8" s="137"/>
    </row>
    <row r="9" spans="1:6" s="5" customFormat="1" ht="25.15" customHeight="1" thickBot="1" x14ac:dyDescent="0.5">
      <c r="A9" s="45" t="s">
        <v>0</v>
      </c>
      <c r="B9" s="56" t="s">
        <v>116</v>
      </c>
      <c r="C9" s="45" t="s">
        <v>117</v>
      </c>
      <c r="D9" s="63" t="s">
        <v>1</v>
      </c>
      <c r="E9" s="46" t="s">
        <v>119</v>
      </c>
      <c r="F9" s="57" t="s">
        <v>120</v>
      </c>
    </row>
    <row r="10" spans="1:6" ht="18" customHeight="1" x14ac:dyDescent="0.45">
      <c r="A10" s="84" t="s">
        <v>147</v>
      </c>
      <c r="B10" s="85" t="s">
        <v>384</v>
      </c>
      <c r="C10" s="24" t="s">
        <v>148</v>
      </c>
      <c r="D10" s="86"/>
      <c r="E10" s="87"/>
      <c r="F10" s="88"/>
    </row>
    <row r="11" spans="1:6" ht="18" customHeight="1" x14ac:dyDescent="0.45">
      <c r="A11" s="89" t="s">
        <v>152</v>
      </c>
      <c r="B11" s="90" t="s">
        <v>384</v>
      </c>
      <c r="C11" s="1" t="s">
        <v>153</v>
      </c>
      <c r="D11" s="91"/>
      <c r="E11" s="92"/>
      <c r="F11" s="93"/>
    </row>
    <row r="12" spans="1:6" ht="18" customHeight="1" x14ac:dyDescent="0.45">
      <c r="A12" s="89" t="s">
        <v>151</v>
      </c>
      <c r="B12" s="90" t="s">
        <v>384</v>
      </c>
      <c r="C12" s="1" t="s">
        <v>400</v>
      </c>
      <c r="D12" s="91"/>
      <c r="E12" s="92"/>
      <c r="F12" s="93"/>
    </row>
    <row r="13" spans="1:6" ht="18" customHeight="1" x14ac:dyDescent="0.45">
      <c r="A13" s="89" t="s">
        <v>149</v>
      </c>
      <c r="B13" s="90" t="s">
        <v>384</v>
      </c>
      <c r="C13" s="1" t="s">
        <v>150</v>
      </c>
      <c r="D13" s="91"/>
      <c r="E13" s="92"/>
      <c r="F13" s="93"/>
    </row>
    <row r="14" spans="1:6" ht="18" customHeight="1" x14ac:dyDescent="0.45">
      <c r="A14" s="89" t="s">
        <v>154</v>
      </c>
      <c r="B14" s="90" t="s">
        <v>384</v>
      </c>
      <c r="C14" s="1" t="s">
        <v>155</v>
      </c>
      <c r="D14" s="91"/>
      <c r="E14" s="92"/>
      <c r="F14" s="93"/>
    </row>
    <row r="15" spans="1:6" x14ac:dyDescent="0.45">
      <c r="A15" s="89" t="s">
        <v>156</v>
      </c>
      <c r="B15" s="90" t="s">
        <v>384</v>
      </c>
      <c r="C15" s="1" t="s">
        <v>157</v>
      </c>
      <c r="D15" s="91"/>
      <c r="E15" s="92"/>
      <c r="F15" s="93"/>
    </row>
    <row r="16" spans="1:6" ht="18" customHeight="1" x14ac:dyDescent="0.45">
      <c r="A16" s="89" t="s">
        <v>158</v>
      </c>
      <c r="B16" s="90" t="s">
        <v>384</v>
      </c>
      <c r="C16" s="1" t="s">
        <v>159</v>
      </c>
      <c r="D16" s="91"/>
      <c r="E16" s="92"/>
      <c r="F16" s="93"/>
    </row>
    <row r="17" spans="1:6" ht="18" customHeight="1" x14ac:dyDescent="0.45">
      <c r="A17" s="89" t="s">
        <v>401</v>
      </c>
      <c r="B17" s="90" t="s">
        <v>384</v>
      </c>
      <c r="C17" s="1" t="s">
        <v>402</v>
      </c>
      <c r="D17" s="91"/>
      <c r="E17" s="92"/>
      <c r="F17" s="93"/>
    </row>
    <row r="18" spans="1:6" ht="18" customHeight="1" x14ac:dyDescent="0.45">
      <c r="A18" s="89" t="s">
        <v>403</v>
      </c>
      <c r="B18" s="90" t="s">
        <v>384</v>
      </c>
      <c r="C18" s="1" t="s">
        <v>404</v>
      </c>
      <c r="D18" s="91"/>
      <c r="E18" s="92"/>
      <c r="F18" s="93"/>
    </row>
    <row r="19" spans="1:6" ht="18" customHeight="1" x14ac:dyDescent="0.45">
      <c r="A19" s="89" t="s">
        <v>405</v>
      </c>
      <c r="B19" s="90" t="s">
        <v>384</v>
      </c>
      <c r="C19" s="1" t="s">
        <v>160</v>
      </c>
      <c r="D19" s="91"/>
      <c r="E19" s="92"/>
      <c r="F19" s="93"/>
    </row>
    <row r="20" spans="1:6" ht="18" customHeight="1" x14ac:dyDescent="0.45">
      <c r="A20" s="89" t="s">
        <v>169</v>
      </c>
      <c r="B20" s="90" t="s">
        <v>384</v>
      </c>
      <c r="C20" s="1" t="s">
        <v>170</v>
      </c>
      <c r="D20" s="91"/>
      <c r="E20" s="92"/>
      <c r="F20" s="93"/>
    </row>
    <row r="21" spans="1:6" ht="18" customHeight="1" x14ac:dyDescent="0.45">
      <c r="A21" s="89" t="s">
        <v>355</v>
      </c>
      <c r="B21" s="90" t="s">
        <v>384</v>
      </c>
      <c r="C21" s="1" t="s">
        <v>356</v>
      </c>
      <c r="D21" s="91"/>
      <c r="E21" s="92"/>
      <c r="F21" s="93"/>
    </row>
    <row r="22" spans="1:6" ht="18" customHeight="1" x14ac:dyDescent="0.45">
      <c r="A22" s="89" t="s">
        <v>171</v>
      </c>
      <c r="B22" s="90" t="s">
        <v>384</v>
      </c>
      <c r="C22" s="1" t="s">
        <v>172</v>
      </c>
      <c r="D22" s="91"/>
      <c r="E22" s="92"/>
      <c r="F22" s="93"/>
    </row>
    <row r="23" spans="1:6" ht="18" customHeight="1" x14ac:dyDescent="0.45">
      <c r="A23" s="89" t="s">
        <v>173</v>
      </c>
      <c r="B23" s="90" t="s">
        <v>384</v>
      </c>
      <c r="C23" s="1" t="s">
        <v>174</v>
      </c>
      <c r="D23" s="91"/>
      <c r="E23" s="92"/>
      <c r="F23" s="93"/>
    </row>
    <row r="24" spans="1:6" ht="18" customHeight="1" x14ac:dyDescent="0.45">
      <c r="A24" s="1" t="s">
        <v>386</v>
      </c>
      <c r="B24" s="90" t="s">
        <v>384</v>
      </c>
      <c r="C24" s="1" t="s">
        <v>390</v>
      </c>
      <c r="D24" s="91"/>
      <c r="E24" s="92"/>
      <c r="F24" s="93"/>
    </row>
    <row r="25" spans="1:6" ht="18" customHeight="1" x14ac:dyDescent="0.45">
      <c r="A25" s="1" t="s">
        <v>387</v>
      </c>
      <c r="B25" s="90" t="s">
        <v>384</v>
      </c>
      <c r="C25" s="1" t="s">
        <v>389</v>
      </c>
      <c r="D25" s="91"/>
      <c r="E25" s="92"/>
      <c r="F25" s="93"/>
    </row>
    <row r="26" spans="1:6" ht="18" customHeight="1" x14ac:dyDescent="0.45">
      <c r="A26" s="1" t="s">
        <v>388</v>
      </c>
      <c r="B26" s="90" t="s">
        <v>384</v>
      </c>
      <c r="C26" s="1" t="s">
        <v>391</v>
      </c>
      <c r="D26" s="91"/>
      <c r="E26" s="92"/>
      <c r="F26" s="93"/>
    </row>
    <row r="27" spans="1:6" ht="18" customHeight="1" x14ac:dyDescent="0.45">
      <c r="A27" s="1" t="s">
        <v>344</v>
      </c>
      <c r="B27" s="90" t="s">
        <v>384</v>
      </c>
      <c r="C27" s="1" t="s">
        <v>240</v>
      </c>
      <c r="D27" s="91"/>
      <c r="E27" s="92"/>
      <c r="F27" s="93"/>
    </row>
    <row r="28" spans="1:6" ht="18" customHeight="1" x14ac:dyDescent="0.45">
      <c r="A28" s="125" t="s">
        <v>340</v>
      </c>
      <c r="B28" s="124" t="s">
        <v>384</v>
      </c>
      <c r="C28" s="125" t="s">
        <v>236</v>
      </c>
      <c r="D28" s="126"/>
      <c r="E28" s="127"/>
      <c r="F28" s="128"/>
    </row>
    <row r="29" spans="1:6" ht="18" customHeight="1" x14ac:dyDescent="0.45">
      <c r="A29" s="1" t="s">
        <v>341</v>
      </c>
      <c r="B29" s="90" t="s">
        <v>384</v>
      </c>
      <c r="C29" s="1" t="s">
        <v>237</v>
      </c>
      <c r="D29" s="91"/>
      <c r="E29" s="92"/>
      <c r="F29" s="93"/>
    </row>
    <row r="30" spans="1:6" ht="18" customHeight="1" x14ac:dyDescent="0.45">
      <c r="A30" s="1" t="s">
        <v>342</v>
      </c>
      <c r="B30" s="90" t="s">
        <v>384</v>
      </c>
      <c r="C30" s="1" t="s">
        <v>238</v>
      </c>
      <c r="D30" s="91"/>
      <c r="E30" s="92"/>
      <c r="F30" s="93"/>
    </row>
    <row r="31" spans="1:6" ht="18" customHeight="1" x14ac:dyDescent="0.45">
      <c r="A31" s="1" t="s">
        <v>343</v>
      </c>
      <c r="B31" s="90" t="s">
        <v>384</v>
      </c>
      <c r="C31" s="1" t="s">
        <v>239</v>
      </c>
      <c r="D31" s="91"/>
      <c r="E31" s="92"/>
      <c r="F31" s="93"/>
    </row>
    <row r="32" spans="1:6" ht="18" customHeight="1" x14ac:dyDescent="0.45">
      <c r="A32" s="89" t="s">
        <v>165</v>
      </c>
      <c r="B32" s="90" t="s">
        <v>384</v>
      </c>
      <c r="C32" s="1" t="s">
        <v>166</v>
      </c>
      <c r="D32" s="91"/>
      <c r="E32" s="92"/>
      <c r="F32" s="93"/>
    </row>
    <row r="33" spans="1:6" ht="18" customHeight="1" x14ac:dyDescent="0.45">
      <c r="A33" s="89" t="s">
        <v>167</v>
      </c>
      <c r="B33" s="90" t="s">
        <v>384</v>
      </c>
      <c r="C33" s="1" t="s">
        <v>168</v>
      </c>
      <c r="D33" s="91"/>
      <c r="E33" s="92"/>
      <c r="F33" s="93"/>
    </row>
    <row r="34" spans="1:6" ht="18" customHeight="1" x14ac:dyDescent="0.45">
      <c r="A34" s="89" t="s">
        <v>161</v>
      </c>
      <c r="B34" s="90" t="s">
        <v>384</v>
      </c>
      <c r="C34" s="1" t="s">
        <v>162</v>
      </c>
      <c r="D34" s="91"/>
      <c r="E34" s="92"/>
      <c r="F34" s="93"/>
    </row>
    <row r="35" spans="1:6" ht="18" customHeight="1" x14ac:dyDescent="0.45">
      <c r="A35" s="89" t="s">
        <v>175</v>
      </c>
      <c r="B35" s="90" t="s">
        <v>384</v>
      </c>
      <c r="C35" s="1" t="s">
        <v>176</v>
      </c>
      <c r="D35" s="91"/>
      <c r="E35" s="92"/>
      <c r="F35" s="93"/>
    </row>
    <row r="36" spans="1:6" ht="18" customHeight="1" x14ac:dyDescent="0.45">
      <c r="A36" s="89" t="s">
        <v>177</v>
      </c>
      <c r="B36" s="90" t="s">
        <v>384</v>
      </c>
      <c r="C36" s="1" t="s">
        <v>178</v>
      </c>
      <c r="D36" s="91"/>
      <c r="E36" s="92"/>
      <c r="F36" s="93"/>
    </row>
    <row r="37" spans="1:6" ht="18" customHeight="1" x14ac:dyDescent="0.45">
      <c r="A37" s="89" t="s">
        <v>357</v>
      </c>
      <c r="B37" s="90" t="s">
        <v>384</v>
      </c>
      <c r="C37" s="1" t="s">
        <v>358</v>
      </c>
      <c r="D37" s="91"/>
      <c r="E37" s="92"/>
      <c r="F37" s="93"/>
    </row>
    <row r="38" spans="1:6" ht="18" customHeight="1" x14ac:dyDescent="0.45">
      <c r="A38" s="89" t="s">
        <v>163</v>
      </c>
      <c r="B38" s="90" t="s">
        <v>384</v>
      </c>
      <c r="C38" s="1" t="s">
        <v>164</v>
      </c>
      <c r="D38" s="91"/>
      <c r="E38" s="92"/>
      <c r="F38" s="93"/>
    </row>
    <row r="39" spans="1:6" ht="18" customHeight="1" x14ac:dyDescent="0.45">
      <c r="A39" s="89" t="s">
        <v>354</v>
      </c>
      <c r="B39" s="90" t="s">
        <v>384</v>
      </c>
      <c r="C39" s="1" t="s">
        <v>193</v>
      </c>
      <c r="D39" s="91"/>
      <c r="E39" s="92"/>
      <c r="F39" s="93"/>
    </row>
    <row r="40" spans="1:6" ht="18" customHeight="1" x14ac:dyDescent="0.45">
      <c r="A40" s="89" t="s">
        <v>179</v>
      </c>
      <c r="B40" s="90" t="s">
        <v>384</v>
      </c>
      <c r="C40" s="1" t="s">
        <v>180</v>
      </c>
      <c r="D40" s="91"/>
      <c r="E40" s="92"/>
      <c r="F40" s="93"/>
    </row>
    <row r="41" spans="1:6" ht="18" customHeight="1" x14ac:dyDescent="0.45">
      <c r="A41" s="89" t="s">
        <v>181</v>
      </c>
      <c r="B41" s="90" t="s">
        <v>384</v>
      </c>
      <c r="C41" s="1" t="s">
        <v>182</v>
      </c>
      <c r="D41" s="91"/>
      <c r="E41" s="92"/>
      <c r="F41" s="93"/>
    </row>
    <row r="42" spans="1:6" ht="18" customHeight="1" x14ac:dyDescent="0.45">
      <c r="A42" s="89" t="s">
        <v>359</v>
      </c>
      <c r="B42" s="90" t="s">
        <v>384</v>
      </c>
      <c r="C42" s="1" t="s">
        <v>183</v>
      </c>
      <c r="D42" s="91"/>
      <c r="E42" s="92"/>
      <c r="F42" s="93"/>
    </row>
    <row r="43" spans="1:6" ht="18" customHeight="1" x14ac:dyDescent="0.45">
      <c r="A43" s="89" t="s">
        <v>360</v>
      </c>
      <c r="B43" s="90" t="s">
        <v>384</v>
      </c>
      <c r="C43" s="1" t="s">
        <v>361</v>
      </c>
      <c r="D43" s="91"/>
      <c r="E43" s="92"/>
      <c r="F43" s="93"/>
    </row>
    <row r="44" spans="1:6" ht="18" customHeight="1" x14ac:dyDescent="0.45">
      <c r="A44" s="89" t="s">
        <v>362</v>
      </c>
      <c r="B44" s="90" t="s">
        <v>384</v>
      </c>
      <c r="C44" s="1" t="s">
        <v>363</v>
      </c>
      <c r="D44" s="91"/>
      <c r="E44" s="92"/>
      <c r="F44" s="93"/>
    </row>
    <row r="45" spans="1:6" ht="18" customHeight="1" x14ac:dyDescent="0.45">
      <c r="A45" s="89" t="s">
        <v>364</v>
      </c>
      <c r="B45" s="90" t="s">
        <v>384</v>
      </c>
      <c r="C45" s="1" t="s">
        <v>365</v>
      </c>
      <c r="D45" s="91"/>
      <c r="E45" s="92"/>
      <c r="F45" s="93"/>
    </row>
    <row r="46" spans="1:6" ht="18" customHeight="1" x14ac:dyDescent="0.45">
      <c r="A46" s="89" t="s">
        <v>184</v>
      </c>
      <c r="B46" s="90" t="s">
        <v>384</v>
      </c>
      <c r="C46" s="1" t="s">
        <v>185</v>
      </c>
      <c r="D46" s="91"/>
      <c r="E46" s="92"/>
      <c r="F46" s="93"/>
    </row>
    <row r="47" spans="1:6" ht="18" customHeight="1" x14ac:dyDescent="0.45">
      <c r="A47" s="89" t="s">
        <v>186</v>
      </c>
      <c r="B47" s="90" t="s">
        <v>384</v>
      </c>
      <c r="C47" s="1" t="s">
        <v>187</v>
      </c>
      <c r="D47" s="91"/>
      <c r="E47" s="92"/>
      <c r="F47" s="93"/>
    </row>
    <row r="48" spans="1:6" ht="18" customHeight="1" x14ac:dyDescent="0.45">
      <c r="A48" s="89" t="s">
        <v>188</v>
      </c>
      <c r="B48" s="90" t="s">
        <v>384</v>
      </c>
      <c r="C48" s="1" t="s">
        <v>189</v>
      </c>
      <c r="D48" s="91"/>
      <c r="E48" s="92"/>
      <c r="F48" s="93"/>
    </row>
    <row r="49" spans="1:6" ht="18" customHeight="1" x14ac:dyDescent="0.45">
      <c r="A49" s="89" t="s">
        <v>190</v>
      </c>
      <c r="B49" s="90" t="s">
        <v>384</v>
      </c>
      <c r="C49" s="1" t="s">
        <v>191</v>
      </c>
      <c r="D49" s="91"/>
      <c r="E49" s="92"/>
      <c r="F49" s="93"/>
    </row>
    <row r="50" spans="1:6" ht="18" customHeight="1" x14ac:dyDescent="0.45">
      <c r="A50" s="89"/>
      <c r="B50" s="90" t="s">
        <v>384</v>
      </c>
      <c r="C50" s="1" t="s">
        <v>192</v>
      </c>
      <c r="D50" s="91"/>
      <c r="E50" s="92"/>
      <c r="F50" s="93"/>
    </row>
    <row r="51" spans="1:6" ht="18" customHeight="1" x14ac:dyDescent="0.45">
      <c r="A51" s="89" t="s">
        <v>351</v>
      </c>
      <c r="B51" s="90" t="s">
        <v>384</v>
      </c>
      <c r="C51" s="1" t="s">
        <v>194</v>
      </c>
      <c r="D51" s="91"/>
      <c r="E51" s="92"/>
      <c r="F51" s="93"/>
    </row>
    <row r="52" spans="1:6" ht="18" customHeight="1" x14ac:dyDescent="0.45">
      <c r="A52" s="89" t="s">
        <v>352</v>
      </c>
      <c r="B52" s="90" t="s">
        <v>384</v>
      </c>
      <c r="C52" s="1" t="s">
        <v>195</v>
      </c>
      <c r="D52" s="91"/>
      <c r="E52" s="92"/>
      <c r="F52" s="93"/>
    </row>
    <row r="53" spans="1:6" ht="18" customHeight="1" x14ac:dyDescent="0.45">
      <c r="A53" s="89" t="s">
        <v>353</v>
      </c>
      <c r="B53" s="90" t="s">
        <v>384</v>
      </c>
      <c r="C53" s="1" t="s">
        <v>196</v>
      </c>
      <c r="D53" s="91"/>
      <c r="E53" s="92"/>
      <c r="F53" s="93"/>
    </row>
    <row r="54" spans="1:6" ht="18" customHeight="1" thickBot="1" x14ac:dyDescent="0.5">
      <c r="A54" s="35"/>
      <c r="B54" s="94" t="s">
        <v>384</v>
      </c>
      <c r="C54" s="35" t="s">
        <v>197</v>
      </c>
      <c r="D54" s="95"/>
      <c r="E54" s="96"/>
      <c r="F54" s="97"/>
    </row>
    <row r="55" spans="1:6" ht="18" customHeight="1" thickBot="1" x14ac:dyDescent="0.6">
      <c r="A55" s="60"/>
      <c r="B55" s="30"/>
      <c r="C55" s="62" t="s">
        <v>198</v>
      </c>
      <c r="D55" s="67"/>
      <c r="E55" s="68"/>
      <c r="F55" s="69"/>
    </row>
    <row r="56" spans="1:6" ht="18" customHeight="1" x14ac:dyDescent="0.45">
      <c r="A56" s="98" t="s">
        <v>261</v>
      </c>
      <c r="B56" s="120" t="s">
        <v>372</v>
      </c>
      <c r="C56" s="98" t="s">
        <v>377</v>
      </c>
      <c r="D56" s="99"/>
      <c r="E56" s="100"/>
      <c r="F56" s="101"/>
    </row>
    <row r="57" spans="1:6" ht="18" customHeight="1" x14ac:dyDescent="0.45">
      <c r="A57" s="1" t="s">
        <v>263</v>
      </c>
      <c r="B57" s="121" t="s">
        <v>372</v>
      </c>
      <c r="C57" s="1" t="s">
        <v>378</v>
      </c>
      <c r="D57" s="91"/>
      <c r="E57" s="92"/>
      <c r="F57" s="93"/>
    </row>
    <row r="58" spans="1:6" ht="18" customHeight="1" x14ac:dyDescent="0.45">
      <c r="A58" s="102"/>
      <c r="B58" s="122"/>
      <c r="C58" s="102" t="s">
        <v>379</v>
      </c>
      <c r="D58" s="103"/>
      <c r="E58" s="104"/>
      <c r="F58" s="105"/>
    </row>
    <row r="59" spans="1:6" ht="18" customHeight="1" x14ac:dyDescent="0.45">
      <c r="A59" s="1" t="s">
        <v>380</v>
      </c>
      <c r="B59" s="121" t="s">
        <v>459</v>
      </c>
      <c r="C59" s="1" t="s">
        <v>381</v>
      </c>
      <c r="D59" s="91"/>
      <c r="E59" s="92"/>
      <c r="F59" s="93"/>
    </row>
    <row r="60" spans="1:6" ht="18" customHeight="1" x14ac:dyDescent="0.45">
      <c r="A60" s="102" t="s">
        <v>382</v>
      </c>
      <c r="B60" s="122" t="s">
        <v>459</v>
      </c>
      <c r="C60" s="102" t="s">
        <v>383</v>
      </c>
      <c r="D60" s="103"/>
      <c r="E60" s="104"/>
      <c r="F60" s="105"/>
    </row>
    <row r="61" spans="1:6" ht="18" customHeight="1" x14ac:dyDescent="0.45">
      <c r="A61" s="1" t="s">
        <v>199</v>
      </c>
      <c r="B61" s="121" t="s">
        <v>460</v>
      </c>
      <c r="C61" s="1" t="s">
        <v>200</v>
      </c>
      <c r="D61" s="91"/>
      <c r="E61" s="92"/>
      <c r="F61" s="93"/>
    </row>
    <row r="62" spans="1:6" ht="18" customHeight="1" x14ac:dyDescent="0.45">
      <c r="A62" s="102" t="s">
        <v>201</v>
      </c>
      <c r="B62" s="122" t="s">
        <v>461</v>
      </c>
      <c r="C62" s="102" t="s">
        <v>202</v>
      </c>
      <c r="D62" s="103"/>
      <c r="E62" s="104"/>
      <c r="F62" s="105"/>
    </row>
    <row r="63" spans="1:6" ht="18" customHeight="1" x14ac:dyDescent="0.45">
      <c r="A63" s="1" t="s">
        <v>203</v>
      </c>
      <c r="B63" s="121" t="s">
        <v>372</v>
      </c>
      <c r="C63" s="1" t="s">
        <v>204</v>
      </c>
      <c r="D63" s="91"/>
      <c r="E63" s="92"/>
      <c r="F63" s="93"/>
    </row>
    <row r="64" spans="1:6" ht="18" customHeight="1" x14ac:dyDescent="0.45">
      <c r="A64" s="102" t="s">
        <v>205</v>
      </c>
      <c r="B64" s="122" t="s">
        <v>372</v>
      </c>
      <c r="C64" s="102" t="s">
        <v>206</v>
      </c>
      <c r="D64" s="103"/>
      <c r="E64" s="104"/>
      <c r="F64" s="105"/>
    </row>
    <row r="65" spans="1:6" ht="18" customHeight="1" x14ac:dyDescent="0.45">
      <c r="A65" s="1" t="s">
        <v>207</v>
      </c>
      <c r="B65" s="121" t="s">
        <v>372</v>
      </c>
      <c r="C65" s="1" t="s">
        <v>208</v>
      </c>
      <c r="D65" s="91"/>
      <c r="E65" s="92"/>
      <c r="F65" s="93"/>
    </row>
    <row r="66" spans="1:6" ht="18" customHeight="1" x14ac:dyDescent="0.45">
      <c r="A66" s="102" t="s">
        <v>209</v>
      </c>
      <c r="B66" s="122" t="s">
        <v>462</v>
      </c>
      <c r="C66" s="102" t="s">
        <v>210</v>
      </c>
      <c r="D66" s="103"/>
      <c r="E66" s="104"/>
      <c r="F66" s="105"/>
    </row>
    <row r="67" spans="1:6" ht="18" customHeight="1" x14ac:dyDescent="0.45">
      <c r="A67" s="1" t="s">
        <v>396</v>
      </c>
      <c r="B67" s="121" t="s">
        <v>372</v>
      </c>
      <c r="C67" s="1" t="s">
        <v>211</v>
      </c>
      <c r="D67" s="91"/>
      <c r="E67" s="92"/>
      <c r="F67" s="93"/>
    </row>
    <row r="68" spans="1:6" ht="18" customHeight="1" x14ac:dyDescent="0.45">
      <c r="A68" s="102" t="s">
        <v>212</v>
      </c>
      <c r="B68" s="122" t="s">
        <v>463</v>
      </c>
      <c r="C68" s="102" t="s">
        <v>213</v>
      </c>
      <c r="D68" s="103"/>
      <c r="E68" s="104"/>
      <c r="F68" s="105"/>
    </row>
    <row r="69" spans="1:6" ht="18" customHeight="1" x14ac:dyDescent="0.45">
      <c r="A69" s="1" t="s">
        <v>214</v>
      </c>
      <c r="B69" s="121" t="s">
        <v>372</v>
      </c>
      <c r="C69" s="1" t="s">
        <v>215</v>
      </c>
      <c r="D69" s="91"/>
      <c r="E69" s="92"/>
      <c r="F69" s="93"/>
    </row>
    <row r="70" spans="1:6" ht="18" customHeight="1" x14ac:dyDescent="0.45">
      <c r="A70" s="102" t="s">
        <v>216</v>
      </c>
      <c r="B70" s="122" t="s">
        <v>464</v>
      </c>
      <c r="C70" s="102" t="s">
        <v>217</v>
      </c>
      <c r="D70" s="103">
        <v>1</v>
      </c>
      <c r="E70" s="104"/>
      <c r="F70" s="105"/>
    </row>
    <row r="71" spans="1:6" ht="18" customHeight="1" x14ac:dyDescent="0.45">
      <c r="A71" s="1" t="s">
        <v>218</v>
      </c>
      <c r="B71" s="121" t="s">
        <v>372</v>
      </c>
      <c r="C71" s="1" t="s">
        <v>219</v>
      </c>
      <c r="D71" s="91"/>
      <c r="E71" s="92"/>
      <c r="F71" s="93"/>
    </row>
    <row r="72" spans="1:6" ht="18" customHeight="1" x14ac:dyDescent="0.45">
      <c r="A72" s="102" t="s">
        <v>220</v>
      </c>
      <c r="B72" s="122" t="s">
        <v>465</v>
      </c>
      <c r="C72" s="102" t="s">
        <v>221</v>
      </c>
      <c r="D72" s="103"/>
      <c r="E72" s="104"/>
      <c r="F72" s="105"/>
    </row>
    <row r="73" spans="1:6" ht="18" customHeight="1" x14ac:dyDescent="0.45">
      <c r="A73" s="1" t="s">
        <v>222</v>
      </c>
      <c r="B73" s="121" t="s">
        <v>466</v>
      </c>
      <c r="C73" s="1" t="s">
        <v>223</v>
      </c>
      <c r="D73" s="91"/>
      <c r="E73" s="92"/>
      <c r="F73" s="93"/>
    </row>
    <row r="74" spans="1:6" ht="18" customHeight="1" x14ac:dyDescent="0.45">
      <c r="A74" s="102" t="s">
        <v>224</v>
      </c>
      <c r="B74" s="122" t="s">
        <v>467</v>
      </c>
      <c r="C74" s="102" t="s">
        <v>225</v>
      </c>
      <c r="D74" s="103"/>
      <c r="E74" s="104"/>
      <c r="F74" s="105"/>
    </row>
    <row r="75" spans="1:6" ht="18" customHeight="1" x14ac:dyDescent="0.45">
      <c r="A75" s="1" t="s">
        <v>226</v>
      </c>
      <c r="B75" s="121" t="s">
        <v>468</v>
      </c>
      <c r="C75" s="1" t="s">
        <v>227</v>
      </c>
      <c r="D75" s="91"/>
      <c r="E75" s="92"/>
      <c r="F75" s="93"/>
    </row>
    <row r="76" spans="1:6" ht="18" customHeight="1" x14ac:dyDescent="0.45">
      <c r="A76" s="102" t="s">
        <v>228</v>
      </c>
      <c r="B76" s="122" t="s">
        <v>372</v>
      </c>
      <c r="C76" s="102" t="s">
        <v>229</v>
      </c>
      <c r="D76" s="103"/>
      <c r="E76" s="104"/>
      <c r="F76" s="105"/>
    </row>
    <row r="77" spans="1:6" ht="18" customHeight="1" x14ac:dyDescent="0.45">
      <c r="A77" s="1" t="s">
        <v>230</v>
      </c>
      <c r="B77" s="121" t="s">
        <v>469</v>
      </c>
      <c r="C77" s="1" t="s">
        <v>231</v>
      </c>
      <c r="D77" s="91"/>
      <c r="E77" s="92"/>
      <c r="F77" s="93"/>
    </row>
    <row r="78" spans="1:6" ht="18" customHeight="1" x14ac:dyDescent="0.45">
      <c r="A78" s="102" t="s">
        <v>232</v>
      </c>
      <c r="B78" s="122" t="s">
        <v>470</v>
      </c>
      <c r="C78" s="102" t="s">
        <v>233</v>
      </c>
      <c r="D78" s="103"/>
      <c r="E78" s="104"/>
      <c r="F78" s="105"/>
    </row>
    <row r="79" spans="1:6" ht="18" customHeight="1" thickBot="1" x14ac:dyDescent="0.5">
      <c r="A79" s="35" t="s">
        <v>234</v>
      </c>
      <c r="B79" s="123" t="s">
        <v>471</v>
      </c>
      <c r="C79" s="35" t="s">
        <v>235</v>
      </c>
      <c r="D79" s="95"/>
      <c r="E79" s="96"/>
      <c r="F79" s="97"/>
    </row>
  </sheetData>
  <mergeCells count="4">
    <mergeCell ref="A1:F1"/>
    <mergeCell ref="E6:F6"/>
    <mergeCell ref="E7:F7"/>
    <mergeCell ref="E8:F8"/>
  </mergeCells>
  <pageMargins left="0.59055118110236215" right="0.39370078740157483" top="0.39370078740157483" bottom="0.39370078740157483" header="0" footer="0"/>
  <pageSetup paperSize="9" scale="60" fitToWidth="0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229A-D59D-41C3-A425-9A6E3E13C3D2}">
  <sheetPr>
    <pageSetUpPr fitToPage="1"/>
  </sheetPr>
  <dimension ref="A1:F59"/>
  <sheetViews>
    <sheetView topLeftCell="A38" zoomScale="120" zoomScaleNormal="120" workbookViewId="0">
      <selection activeCell="E9" sqref="E9"/>
    </sheetView>
  </sheetViews>
  <sheetFormatPr defaultColWidth="10.6640625" defaultRowHeight="14.25" x14ac:dyDescent="0.45"/>
  <cols>
    <col min="1" max="1" width="16.1328125" bestFit="1" customWidth="1"/>
    <col min="2" max="2" width="11.73046875" style="44" bestFit="1" customWidth="1"/>
    <col min="3" max="3" width="42.3984375" customWidth="1"/>
    <col min="4" max="4" width="11.73046875" customWidth="1"/>
    <col min="5" max="5" width="8.73046875" customWidth="1"/>
    <col min="6" max="6" width="9.73046875" customWidth="1"/>
  </cols>
  <sheetData>
    <row r="1" spans="1:6" ht="21.4" thickBot="1" x14ac:dyDescent="0.7">
      <c r="A1" s="129" t="str">
        <f>Montage!A1</f>
        <v>Roboterauslieferungsliste 01.26</v>
      </c>
      <c r="B1" s="130"/>
      <c r="C1" s="130"/>
      <c r="D1" s="130"/>
      <c r="E1" s="130"/>
      <c r="F1" s="131"/>
    </row>
    <row r="2" spans="1:6" x14ac:dyDescent="0.45">
      <c r="A2" s="19" t="s">
        <v>114</v>
      </c>
      <c r="B2" s="16" t="str">
        <f>IF(Montage!B2=0,"",Montage!B2)</f>
        <v/>
      </c>
      <c r="C2" s="14"/>
      <c r="D2" s="6"/>
      <c r="E2" s="7"/>
      <c r="F2" s="8"/>
    </row>
    <row r="3" spans="1:6" x14ac:dyDescent="0.45">
      <c r="A3" s="20" t="s">
        <v>115</v>
      </c>
      <c r="B3" s="17" t="str">
        <f>IF(Montage!B3=0,"",Montage!B3)</f>
        <v/>
      </c>
      <c r="C3" s="2"/>
      <c r="D3" s="9"/>
      <c r="F3" s="10"/>
    </row>
    <row r="4" spans="1:6" ht="14.65" thickBot="1" x14ac:dyDescent="0.5">
      <c r="A4" s="21" t="str">
        <f>IF(Montage!A4=0,"",Montage!A4)</f>
        <v>LC Wernberg</v>
      </c>
      <c r="B4" s="18" t="str">
        <f>IF(Montage!B4=0,"",Montage!B4)</f>
        <v/>
      </c>
      <c r="C4" s="15"/>
      <c r="D4" s="9"/>
      <c r="F4" s="10"/>
    </row>
    <row r="5" spans="1:6" ht="14.65" thickBot="1" x14ac:dyDescent="0.5">
      <c r="A5" s="33" t="s">
        <v>368</v>
      </c>
      <c r="B5" s="29" t="str">
        <f>IF(Montage!B5=0,"",Montage!B5)</f>
        <v/>
      </c>
      <c r="C5" s="34"/>
      <c r="D5" s="11"/>
      <c r="E5" s="12"/>
      <c r="F5" s="13"/>
    </row>
    <row r="6" spans="1:6" x14ac:dyDescent="0.45">
      <c r="A6" s="20" t="s">
        <v>369</v>
      </c>
      <c r="B6" s="17" t="str">
        <f>IF(Montage!B6=0,"",Montage!B6)</f>
        <v/>
      </c>
      <c r="C6" s="2"/>
      <c r="D6" s="65" t="s">
        <v>392</v>
      </c>
      <c r="E6" s="132" t="str">
        <f>IF(Montage!F6=0,"",Montage!F6)</f>
        <v/>
      </c>
      <c r="F6" s="133"/>
    </row>
    <row r="7" spans="1:6" x14ac:dyDescent="0.45">
      <c r="A7" s="20" t="s">
        <v>370</v>
      </c>
      <c r="B7" s="17" t="str">
        <f>IF(Montage!B7=0,"",Montage!B7)</f>
        <v/>
      </c>
      <c r="C7" s="2"/>
      <c r="D7" s="66" t="s">
        <v>393</v>
      </c>
      <c r="E7" s="134" t="str">
        <f>IF(Montage!F7=0,"",Montage!F7)</f>
        <v/>
      </c>
      <c r="F7" s="135"/>
    </row>
    <row r="8" spans="1:6" ht="14.65" thickBot="1" x14ac:dyDescent="0.5">
      <c r="A8" s="21" t="s">
        <v>371</v>
      </c>
      <c r="B8" s="37" t="str">
        <f>IF(Montage!B8=0,"",Montage!B8)</f>
        <v/>
      </c>
      <c r="C8" s="15"/>
      <c r="D8" s="64" t="s">
        <v>394</v>
      </c>
      <c r="E8" s="136" t="str">
        <f>IF(Montage!F8=0,"",Montage!F8)</f>
        <v/>
      </c>
      <c r="F8" s="137"/>
    </row>
    <row r="9" spans="1:6" s="5" customFormat="1" ht="25.15" customHeight="1" thickBot="1" x14ac:dyDescent="0.5">
      <c r="A9" s="45" t="s">
        <v>0</v>
      </c>
      <c r="B9" s="63" t="s">
        <v>116</v>
      </c>
      <c r="C9" s="45" t="s">
        <v>117</v>
      </c>
      <c r="D9" s="63" t="s">
        <v>1</v>
      </c>
      <c r="E9" s="46" t="s">
        <v>119</v>
      </c>
      <c r="F9" s="57" t="s">
        <v>120</v>
      </c>
    </row>
    <row r="10" spans="1:6" s="3" customFormat="1" ht="14.65" thickBot="1" x14ac:dyDescent="0.5">
      <c r="A10" s="72"/>
      <c r="B10" s="43"/>
      <c r="C10" s="72" t="s">
        <v>241</v>
      </c>
      <c r="D10" s="77"/>
      <c r="E10" s="78"/>
      <c r="F10" s="79"/>
    </row>
    <row r="11" spans="1:6" x14ac:dyDescent="0.45">
      <c r="A11" s="24" t="s">
        <v>242</v>
      </c>
      <c r="B11" s="85" t="s">
        <v>372</v>
      </c>
      <c r="C11" s="24" t="s">
        <v>339</v>
      </c>
      <c r="D11" s="86"/>
      <c r="E11" s="87"/>
      <c r="F11" s="88"/>
    </row>
    <row r="12" spans="1:6" x14ac:dyDescent="0.45">
      <c r="A12" s="1" t="s">
        <v>335</v>
      </c>
      <c r="B12" s="90" t="s">
        <v>472</v>
      </c>
      <c r="C12" s="1" t="s">
        <v>243</v>
      </c>
      <c r="D12" s="91"/>
      <c r="E12" s="92"/>
      <c r="F12" s="93"/>
    </row>
    <row r="13" spans="1:6" x14ac:dyDescent="0.45">
      <c r="A13" s="1" t="s">
        <v>336</v>
      </c>
      <c r="B13" s="90" t="s">
        <v>473</v>
      </c>
      <c r="C13" s="1" t="s">
        <v>244</v>
      </c>
      <c r="D13" s="91"/>
      <c r="E13" s="92"/>
      <c r="F13" s="93"/>
    </row>
    <row r="14" spans="1:6" x14ac:dyDescent="0.45">
      <c r="A14" s="1" t="s">
        <v>337</v>
      </c>
      <c r="B14" s="90" t="s">
        <v>474</v>
      </c>
      <c r="C14" s="1" t="s">
        <v>245</v>
      </c>
      <c r="D14" s="91"/>
      <c r="E14" s="92"/>
      <c r="F14" s="93"/>
    </row>
    <row r="15" spans="1:6" x14ac:dyDescent="0.45">
      <c r="A15" s="1" t="s">
        <v>338</v>
      </c>
      <c r="B15" s="90" t="s">
        <v>372</v>
      </c>
      <c r="C15" s="1" t="s">
        <v>246</v>
      </c>
      <c r="D15" s="91"/>
      <c r="E15" s="92"/>
      <c r="F15" s="93"/>
    </row>
    <row r="16" spans="1:6" x14ac:dyDescent="0.45">
      <c r="A16" s="1" t="s">
        <v>247</v>
      </c>
      <c r="B16" s="90"/>
      <c r="C16" s="1" t="s">
        <v>248</v>
      </c>
      <c r="D16" s="91"/>
      <c r="E16" s="92"/>
      <c r="F16" s="93"/>
    </row>
    <row r="17" spans="1:6" x14ac:dyDescent="0.45">
      <c r="A17" s="1" t="s">
        <v>249</v>
      </c>
      <c r="B17" s="90" t="s">
        <v>475</v>
      </c>
      <c r="C17" s="1" t="s">
        <v>250</v>
      </c>
      <c r="D17" s="91"/>
      <c r="E17" s="92"/>
      <c r="F17" s="93"/>
    </row>
    <row r="18" spans="1:6" x14ac:dyDescent="0.45">
      <c r="A18" s="1" t="s">
        <v>251</v>
      </c>
      <c r="B18" s="90" t="s">
        <v>476</v>
      </c>
      <c r="C18" s="1" t="s">
        <v>252</v>
      </c>
      <c r="D18" s="91"/>
      <c r="E18" s="92"/>
      <c r="F18" s="93"/>
    </row>
    <row r="19" spans="1:6" x14ac:dyDescent="0.45">
      <c r="A19" s="1" t="s">
        <v>333</v>
      </c>
      <c r="B19" s="90" t="s">
        <v>372</v>
      </c>
      <c r="C19" s="1" t="s">
        <v>253</v>
      </c>
      <c r="D19" s="91"/>
      <c r="E19" s="92"/>
      <c r="F19" s="93"/>
    </row>
    <row r="20" spans="1:6" x14ac:dyDescent="0.45">
      <c r="A20" s="1" t="s">
        <v>334</v>
      </c>
      <c r="B20" s="90" t="s">
        <v>372</v>
      </c>
      <c r="C20" s="1" t="s">
        <v>254</v>
      </c>
      <c r="D20" s="91"/>
      <c r="E20" s="92"/>
      <c r="F20" s="93"/>
    </row>
    <row r="21" spans="1:6" x14ac:dyDescent="0.45">
      <c r="A21" s="1" t="s">
        <v>255</v>
      </c>
      <c r="B21" s="90" t="s">
        <v>417</v>
      </c>
      <c r="C21" s="1" t="s">
        <v>256</v>
      </c>
      <c r="D21" s="91"/>
      <c r="E21" s="92"/>
      <c r="F21" s="93"/>
    </row>
    <row r="22" spans="1:6" x14ac:dyDescent="0.45">
      <c r="A22" s="1" t="s">
        <v>257</v>
      </c>
      <c r="B22" s="90" t="s">
        <v>477</v>
      </c>
      <c r="C22" s="1" t="s">
        <v>258</v>
      </c>
      <c r="D22" s="91"/>
      <c r="E22" s="92"/>
      <c r="F22" s="93"/>
    </row>
    <row r="23" spans="1:6" x14ac:dyDescent="0.45">
      <c r="A23" s="1" t="s">
        <v>259</v>
      </c>
      <c r="B23" s="90" t="s">
        <v>478</v>
      </c>
      <c r="C23" s="1" t="s">
        <v>398</v>
      </c>
      <c r="D23" s="91"/>
      <c r="E23" s="92"/>
      <c r="F23" s="93"/>
    </row>
    <row r="24" spans="1:6" s="3" customFormat="1" x14ac:dyDescent="0.45">
      <c r="A24" s="1" t="s">
        <v>399</v>
      </c>
      <c r="B24" s="90" t="s">
        <v>372</v>
      </c>
      <c r="C24" s="106" t="s">
        <v>260</v>
      </c>
      <c r="D24" s="91"/>
      <c r="E24" s="92"/>
      <c r="F24" s="93"/>
    </row>
    <row r="25" spans="1:6" x14ac:dyDescent="0.45">
      <c r="A25" s="1" t="s">
        <v>261</v>
      </c>
      <c r="B25" s="90" t="s">
        <v>372</v>
      </c>
      <c r="C25" s="1" t="s">
        <v>262</v>
      </c>
      <c r="D25" s="91"/>
      <c r="E25" s="92"/>
      <c r="F25" s="93"/>
    </row>
    <row r="26" spans="1:6" x14ac:dyDescent="0.45">
      <c r="A26" s="1" t="s">
        <v>263</v>
      </c>
      <c r="B26" s="90" t="s">
        <v>372</v>
      </c>
      <c r="C26" s="1" t="s">
        <v>264</v>
      </c>
      <c r="D26" s="91"/>
      <c r="E26" s="92"/>
      <c r="F26" s="93"/>
    </row>
    <row r="27" spans="1:6" x14ac:dyDescent="0.45">
      <c r="A27" s="1" t="s">
        <v>220</v>
      </c>
      <c r="B27" s="90" t="s">
        <v>465</v>
      </c>
      <c r="C27" s="1" t="s">
        <v>265</v>
      </c>
      <c r="D27" s="91"/>
      <c r="E27" s="92"/>
      <c r="F27" s="93"/>
    </row>
    <row r="28" spans="1:6" ht="14.65" thickBot="1" x14ac:dyDescent="0.5">
      <c r="A28" s="35" t="s">
        <v>222</v>
      </c>
      <c r="B28" s="94" t="s">
        <v>466</v>
      </c>
      <c r="C28" s="35" t="s">
        <v>266</v>
      </c>
      <c r="D28" s="95"/>
      <c r="E28" s="96"/>
      <c r="F28" s="97"/>
    </row>
    <row r="29" spans="1:6" s="3" customFormat="1" ht="14.65" thickBot="1" x14ac:dyDescent="0.5">
      <c r="A29" s="72"/>
      <c r="B29" s="43"/>
      <c r="C29" s="72" t="s">
        <v>267</v>
      </c>
      <c r="D29" s="77"/>
      <c r="E29" s="78"/>
      <c r="F29" s="79"/>
    </row>
    <row r="30" spans="1:6" x14ac:dyDescent="0.45">
      <c r="A30" s="24" t="s">
        <v>226</v>
      </c>
      <c r="B30" s="85" t="s">
        <v>468</v>
      </c>
      <c r="C30" s="24" t="s">
        <v>268</v>
      </c>
      <c r="D30" s="86"/>
      <c r="E30" s="87"/>
      <c r="F30" s="88"/>
    </row>
    <row r="31" spans="1:6" x14ac:dyDescent="0.45">
      <c r="A31" s="1" t="s">
        <v>220</v>
      </c>
      <c r="B31" s="90" t="s">
        <v>465</v>
      </c>
      <c r="C31" s="1" t="s">
        <v>265</v>
      </c>
      <c r="D31" s="91"/>
      <c r="E31" s="92"/>
      <c r="F31" s="93"/>
    </row>
    <row r="32" spans="1:6" x14ac:dyDescent="0.45">
      <c r="A32" s="1" t="s">
        <v>222</v>
      </c>
      <c r="B32" s="90" t="s">
        <v>466</v>
      </c>
      <c r="C32" s="1" t="s">
        <v>269</v>
      </c>
      <c r="D32" s="91"/>
      <c r="E32" s="92"/>
      <c r="F32" s="93"/>
    </row>
    <row r="33" spans="1:6" ht="14.65" thickBot="1" x14ac:dyDescent="0.5">
      <c r="A33" s="35" t="s">
        <v>44</v>
      </c>
      <c r="B33" s="94" t="s">
        <v>421</v>
      </c>
      <c r="C33" s="35" t="s">
        <v>270</v>
      </c>
      <c r="D33" s="95"/>
      <c r="E33" s="96"/>
      <c r="F33" s="97"/>
    </row>
    <row r="34" spans="1:6" s="3" customFormat="1" ht="14.65" thickBot="1" x14ac:dyDescent="0.5">
      <c r="A34" s="72"/>
      <c r="B34" s="43"/>
      <c r="C34" s="72" t="s">
        <v>271</v>
      </c>
      <c r="D34" s="77"/>
      <c r="E34" s="78"/>
      <c r="F34" s="79"/>
    </row>
    <row r="35" spans="1:6" x14ac:dyDescent="0.45">
      <c r="A35" s="24" t="s">
        <v>272</v>
      </c>
      <c r="B35" s="85" t="s">
        <v>372</v>
      </c>
      <c r="C35" s="24" t="s">
        <v>273</v>
      </c>
      <c r="D35" s="86"/>
      <c r="E35" s="87"/>
      <c r="F35" s="88"/>
    </row>
    <row r="36" spans="1:6" x14ac:dyDescent="0.45">
      <c r="A36" s="1" t="s">
        <v>274</v>
      </c>
      <c r="B36" s="90" t="s">
        <v>372</v>
      </c>
      <c r="C36" s="1" t="s">
        <v>275</v>
      </c>
      <c r="D36" s="91"/>
      <c r="E36" s="92"/>
      <c r="F36" s="93"/>
    </row>
    <row r="37" spans="1:6" x14ac:dyDescent="0.45">
      <c r="A37" s="1" t="s">
        <v>63</v>
      </c>
      <c r="B37" s="90" t="s">
        <v>435</v>
      </c>
      <c r="C37" s="1" t="s">
        <v>64</v>
      </c>
      <c r="D37" s="91"/>
      <c r="E37" s="92"/>
      <c r="F37" s="93"/>
    </row>
    <row r="38" spans="1:6" x14ac:dyDescent="0.45">
      <c r="A38" s="1" t="s">
        <v>276</v>
      </c>
      <c r="B38" s="90"/>
      <c r="C38" s="1" t="s">
        <v>277</v>
      </c>
      <c r="D38" s="91"/>
      <c r="E38" s="92"/>
      <c r="F38" s="93"/>
    </row>
    <row r="39" spans="1:6" x14ac:dyDescent="0.45">
      <c r="A39" s="1" t="s">
        <v>278</v>
      </c>
      <c r="B39" s="90"/>
      <c r="C39" s="1" t="s">
        <v>279</v>
      </c>
      <c r="D39" s="91"/>
      <c r="E39" s="92"/>
      <c r="F39" s="93"/>
    </row>
    <row r="40" spans="1:6" x14ac:dyDescent="0.45">
      <c r="A40" s="1" t="s">
        <v>280</v>
      </c>
      <c r="B40" s="90"/>
      <c r="C40" s="1" t="s">
        <v>281</v>
      </c>
      <c r="D40" s="91"/>
      <c r="E40" s="92"/>
      <c r="F40" s="93"/>
    </row>
    <row r="41" spans="1:6" x14ac:dyDescent="0.45">
      <c r="A41" s="1" t="s">
        <v>282</v>
      </c>
      <c r="B41" s="90"/>
      <c r="C41" s="1" t="s">
        <v>283</v>
      </c>
      <c r="D41" s="91"/>
      <c r="E41" s="92"/>
      <c r="F41" s="93"/>
    </row>
    <row r="42" spans="1:6" ht="14.65" thickBot="1" x14ac:dyDescent="0.5">
      <c r="A42" s="35" t="s">
        <v>284</v>
      </c>
      <c r="B42" s="94"/>
      <c r="C42" s="35" t="s">
        <v>285</v>
      </c>
      <c r="D42" s="95"/>
      <c r="E42" s="96"/>
      <c r="F42" s="97"/>
    </row>
    <row r="43" spans="1:6" s="3" customFormat="1" ht="14.65" thickBot="1" x14ac:dyDescent="0.5">
      <c r="A43" s="72"/>
      <c r="B43" s="43"/>
      <c r="C43" s="72" t="s">
        <v>286</v>
      </c>
      <c r="D43" s="77"/>
      <c r="E43" s="78"/>
      <c r="F43" s="79"/>
    </row>
    <row r="44" spans="1:6" x14ac:dyDescent="0.45">
      <c r="A44" s="24" t="s">
        <v>327</v>
      </c>
      <c r="B44" s="85" t="s">
        <v>372</v>
      </c>
      <c r="C44" s="24" t="s">
        <v>287</v>
      </c>
      <c r="D44" s="86"/>
      <c r="E44" s="87"/>
      <c r="F44" s="88"/>
    </row>
    <row r="45" spans="1:6" x14ac:dyDescent="0.45">
      <c r="A45" s="1" t="s">
        <v>16</v>
      </c>
      <c r="B45" s="90" t="s">
        <v>372</v>
      </c>
      <c r="C45" s="1" t="s">
        <v>17</v>
      </c>
      <c r="D45" s="91"/>
      <c r="E45" s="92"/>
      <c r="F45" s="93"/>
    </row>
    <row r="46" spans="1:6" x14ac:dyDescent="0.45">
      <c r="A46" s="1" t="s">
        <v>328</v>
      </c>
      <c r="B46" s="90" t="s">
        <v>372</v>
      </c>
      <c r="C46" s="1" t="s">
        <v>288</v>
      </c>
      <c r="D46" s="91"/>
      <c r="E46" s="92"/>
      <c r="F46" s="93"/>
    </row>
    <row r="47" spans="1:6" x14ac:dyDescent="0.45">
      <c r="A47" s="1" t="s">
        <v>385</v>
      </c>
      <c r="B47" s="90" t="s">
        <v>372</v>
      </c>
      <c r="C47" s="1" t="s">
        <v>289</v>
      </c>
      <c r="D47" s="91"/>
      <c r="E47" s="92"/>
      <c r="F47" s="93"/>
    </row>
    <row r="48" spans="1:6" x14ac:dyDescent="0.45">
      <c r="A48" s="1" t="s">
        <v>329</v>
      </c>
      <c r="B48" s="90" t="s">
        <v>372</v>
      </c>
      <c r="C48" s="1" t="s">
        <v>290</v>
      </c>
      <c r="D48" s="91"/>
      <c r="E48" s="92"/>
      <c r="F48" s="93"/>
    </row>
    <row r="49" spans="1:6" x14ac:dyDescent="0.45">
      <c r="A49" s="1" t="s">
        <v>330</v>
      </c>
      <c r="B49" s="90" t="s">
        <v>372</v>
      </c>
      <c r="C49" s="1" t="s">
        <v>291</v>
      </c>
      <c r="D49" s="91"/>
      <c r="E49" s="92"/>
      <c r="F49" s="93"/>
    </row>
    <row r="50" spans="1:6" x14ac:dyDescent="0.45">
      <c r="A50" s="1" t="s">
        <v>331</v>
      </c>
      <c r="B50" s="90"/>
      <c r="C50" s="1" t="s">
        <v>292</v>
      </c>
      <c r="D50" s="91"/>
      <c r="E50" s="92"/>
      <c r="F50" s="93"/>
    </row>
    <row r="51" spans="1:6" ht="14.65" thickBot="1" x14ac:dyDescent="0.5">
      <c r="A51" s="35" t="s">
        <v>332</v>
      </c>
      <c r="B51" s="58" t="s">
        <v>372</v>
      </c>
      <c r="C51" s="35" t="s">
        <v>293</v>
      </c>
      <c r="D51" s="95"/>
      <c r="E51" s="96"/>
      <c r="F51" s="97"/>
    </row>
    <row r="52" spans="1:6" s="3" customFormat="1" ht="14.65" thickBot="1" x14ac:dyDescent="0.5">
      <c r="A52" s="28"/>
      <c r="B52" s="74"/>
      <c r="C52" s="73" t="s">
        <v>294</v>
      </c>
      <c r="D52" s="77"/>
      <c r="E52" s="78"/>
      <c r="F52" s="79"/>
    </row>
    <row r="53" spans="1:6" x14ac:dyDescent="0.45">
      <c r="A53" s="16" t="s">
        <v>295</v>
      </c>
      <c r="B53" s="107"/>
      <c r="C53" s="14" t="s">
        <v>296</v>
      </c>
      <c r="D53" s="86"/>
      <c r="E53" s="87"/>
      <c r="F53" s="88"/>
    </row>
    <row r="54" spans="1:6" x14ac:dyDescent="0.45">
      <c r="A54" s="1" t="s">
        <v>297</v>
      </c>
      <c r="B54" s="108"/>
      <c r="C54" s="2" t="s">
        <v>298</v>
      </c>
      <c r="D54" s="91"/>
      <c r="E54" s="92"/>
      <c r="F54" s="93"/>
    </row>
    <row r="55" spans="1:6" x14ac:dyDescent="0.45">
      <c r="A55" s="1" t="s">
        <v>299</v>
      </c>
      <c r="B55" s="108"/>
      <c r="C55" s="2" t="s">
        <v>300</v>
      </c>
      <c r="D55" s="91"/>
      <c r="E55" s="92"/>
      <c r="F55" s="93"/>
    </row>
    <row r="56" spans="1:6" x14ac:dyDescent="0.45">
      <c r="A56" s="1" t="s">
        <v>301</v>
      </c>
      <c r="B56" s="108"/>
      <c r="C56" s="2" t="s">
        <v>302</v>
      </c>
      <c r="D56" s="91"/>
      <c r="E56" s="92"/>
      <c r="F56" s="93"/>
    </row>
    <row r="57" spans="1:6" x14ac:dyDescent="0.45">
      <c r="A57" s="1" t="s">
        <v>303</v>
      </c>
      <c r="B57" s="108"/>
      <c r="C57" s="2" t="s">
        <v>304</v>
      </c>
      <c r="D57" s="91"/>
      <c r="E57" s="92"/>
      <c r="F57" s="93"/>
    </row>
    <row r="58" spans="1:6" ht="14.65" thickBot="1" x14ac:dyDescent="0.5">
      <c r="A58" s="35" t="s">
        <v>305</v>
      </c>
      <c r="B58" s="109"/>
      <c r="C58" s="15" t="s">
        <v>306</v>
      </c>
      <c r="D58" s="95"/>
      <c r="E58" s="96"/>
      <c r="F58" s="97"/>
    </row>
    <row r="59" spans="1:6" x14ac:dyDescent="0.45">
      <c r="D59" s="4"/>
      <c r="E59" s="4"/>
      <c r="F59" s="4"/>
    </row>
  </sheetData>
  <mergeCells count="4">
    <mergeCell ref="A1:F1"/>
    <mergeCell ref="E6:F6"/>
    <mergeCell ref="E7:F7"/>
    <mergeCell ref="E8:F8"/>
  </mergeCells>
  <pageMargins left="0.59055118110236215" right="0.39370078740157483" top="0.39370078740157483" bottom="0.39370078740157483" header="0" footer="0"/>
  <pageSetup paperSize="9" scale="75" fitToWidth="0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6ED9A-EAF2-405E-88E2-1F03F3D33352}">
  <dimension ref="A1:E24"/>
  <sheetViews>
    <sheetView workbookViewId="0">
      <selection activeCell="C20" sqref="C20"/>
    </sheetView>
  </sheetViews>
  <sheetFormatPr defaultColWidth="10.6640625" defaultRowHeight="14.25" x14ac:dyDescent="0.45"/>
  <cols>
    <col min="1" max="1" width="16.265625" bestFit="1" customWidth="1"/>
    <col min="2" max="2" width="40.73046875" bestFit="1" customWidth="1"/>
    <col min="3" max="3" width="12.265625" customWidth="1"/>
    <col min="4" max="5" width="9.73046875" customWidth="1"/>
  </cols>
  <sheetData>
    <row r="1" spans="1:5" ht="21.4" thickBot="1" x14ac:dyDescent="0.7">
      <c r="A1" s="154" t="str">
        <f>Montage!A1</f>
        <v>Roboterauslieferungsliste 01.26</v>
      </c>
      <c r="B1" s="155"/>
      <c r="C1" s="155"/>
      <c r="D1" s="155"/>
      <c r="E1" s="156"/>
    </row>
    <row r="2" spans="1:5" ht="16.899999999999999" customHeight="1" x14ac:dyDescent="0.45">
      <c r="A2" s="19" t="s">
        <v>114</v>
      </c>
      <c r="B2" s="24" t="str">
        <f>IF(Montage!B2=0,"",Montage!B2)</f>
        <v/>
      </c>
      <c r="C2" s="6"/>
      <c r="D2" s="7"/>
      <c r="E2" s="8"/>
    </row>
    <row r="3" spans="1:5" ht="16.899999999999999" customHeight="1" x14ac:dyDescent="0.45">
      <c r="A3" s="20" t="s">
        <v>115</v>
      </c>
      <c r="B3" s="1" t="str">
        <f>IF(Montage!B3=0,"",Montage!B3)</f>
        <v/>
      </c>
      <c r="C3" s="9"/>
      <c r="E3" s="10"/>
    </row>
    <row r="4" spans="1:5" ht="16.899999999999999" customHeight="1" thickBot="1" x14ac:dyDescent="0.5">
      <c r="A4" s="21" t="str">
        <f>IF(Montage!A4=0,"",Montage!A4)</f>
        <v>LC Wernberg</v>
      </c>
      <c r="B4" s="35" t="str">
        <f>IF(Montage!B4=0,"",Montage!B4)</f>
        <v/>
      </c>
      <c r="C4" s="9"/>
      <c r="E4" s="10"/>
    </row>
    <row r="5" spans="1:5" ht="16.899999999999999" customHeight="1" thickBot="1" x14ac:dyDescent="0.5">
      <c r="A5" s="33" t="s">
        <v>347</v>
      </c>
      <c r="B5" s="29" t="str">
        <f>IF(Montage!B5=0,"",Montage!B5)</f>
        <v/>
      </c>
      <c r="C5" s="11"/>
      <c r="D5" s="12"/>
      <c r="E5" s="13"/>
    </row>
    <row r="6" spans="1:5" ht="16.899999999999999" customHeight="1" x14ac:dyDescent="0.45">
      <c r="A6" s="20" t="s">
        <v>348</v>
      </c>
      <c r="B6" s="17" t="str">
        <f>IF(Montage!B6=0,"",Montage!B6)</f>
        <v/>
      </c>
      <c r="C6" s="65" t="s">
        <v>392</v>
      </c>
      <c r="D6" s="132" t="str">
        <f>IF(Montage!F6=0,"",Montage!F6)</f>
        <v/>
      </c>
      <c r="E6" s="133"/>
    </row>
    <row r="7" spans="1:5" ht="16.899999999999999" customHeight="1" x14ac:dyDescent="0.45">
      <c r="A7" s="20" t="s">
        <v>349</v>
      </c>
      <c r="B7" s="17" t="str">
        <f>IF(Montage!B7=0,"",Montage!B7)</f>
        <v/>
      </c>
      <c r="C7" s="66" t="s">
        <v>393</v>
      </c>
      <c r="D7" s="134" t="str">
        <f>IF(Montage!F7=0,"",Montage!F7)</f>
        <v/>
      </c>
      <c r="E7" s="135"/>
    </row>
    <row r="8" spans="1:5" ht="16.899999999999999" customHeight="1" thickBot="1" x14ac:dyDescent="0.5">
      <c r="A8" s="21" t="s">
        <v>350</v>
      </c>
      <c r="B8" s="17" t="str">
        <f>IF(Montage!B8=0,"",Montage!B8)</f>
        <v/>
      </c>
      <c r="C8" s="64" t="s">
        <v>394</v>
      </c>
      <c r="D8" s="136" t="str">
        <f>IF(Montage!F8=0,"",Montage!F8)</f>
        <v/>
      </c>
      <c r="E8" s="137"/>
    </row>
    <row r="9" spans="1:5" s="5" customFormat="1" ht="25.15" customHeight="1" thickBot="1" x14ac:dyDescent="0.5">
      <c r="A9" s="75" t="s">
        <v>0</v>
      </c>
      <c r="B9" s="75" t="s">
        <v>117</v>
      </c>
      <c r="C9" s="76" t="s">
        <v>1</v>
      </c>
      <c r="D9" s="22" t="s">
        <v>119</v>
      </c>
      <c r="E9" s="23" t="s">
        <v>120</v>
      </c>
    </row>
    <row r="10" spans="1:5" ht="14.65" thickBot="1" x14ac:dyDescent="0.5">
      <c r="A10" s="61"/>
      <c r="B10" s="61" t="s">
        <v>367</v>
      </c>
      <c r="C10" s="31"/>
      <c r="D10" s="31"/>
      <c r="E10" s="32"/>
    </row>
    <row r="11" spans="1:5" x14ac:dyDescent="0.45">
      <c r="A11" s="24" t="s">
        <v>307</v>
      </c>
      <c r="B11" s="24" t="s">
        <v>308</v>
      </c>
      <c r="C11" s="87"/>
      <c r="D11" s="87"/>
      <c r="E11" s="88"/>
    </row>
    <row r="12" spans="1:5" x14ac:dyDescent="0.45">
      <c r="A12" s="1" t="s">
        <v>309</v>
      </c>
      <c r="B12" s="1" t="s">
        <v>310</v>
      </c>
      <c r="C12" s="92"/>
      <c r="D12" s="92"/>
      <c r="E12" s="93"/>
    </row>
    <row r="13" spans="1:5" x14ac:dyDescent="0.45">
      <c r="A13" s="1" t="s">
        <v>311</v>
      </c>
      <c r="B13" s="1" t="s">
        <v>312</v>
      </c>
      <c r="C13" s="92"/>
      <c r="D13" s="92"/>
      <c r="E13" s="93"/>
    </row>
    <row r="14" spans="1:5" x14ac:dyDescent="0.45">
      <c r="A14" s="110"/>
      <c r="B14" s="110"/>
      <c r="C14" s="111" t="s">
        <v>346</v>
      </c>
      <c r="D14" s="111" t="s">
        <v>346</v>
      </c>
      <c r="E14" s="112" t="s">
        <v>346</v>
      </c>
    </row>
    <row r="15" spans="1:5" x14ac:dyDescent="0.45">
      <c r="A15" s="1" t="s">
        <v>313</v>
      </c>
      <c r="B15" s="1" t="s">
        <v>314</v>
      </c>
      <c r="C15" s="92"/>
      <c r="D15" s="92"/>
      <c r="E15" s="93"/>
    </row>
    <row r="16" spans="1:5" ht="14.65" thickBot="1" x14ac:dyDescent="0.5">
      <c r="A16" s="35" t="s">
        <v>315</v>
      </c>
      <c r="B16" s="35" t="s">
        <v>316</v>
      </c>
      <c r="C16" s="96"/>
      <c r="D16" s="96"/>
      <c r="E16" s="97"/>
    </row>
    <row r="17" spans="1:5" ht="14.65" thickBot="1" x14ac:dyDescent="0.5">
      <c r="A17" s="61"/>
      <c r="B17" s="61" t="s">
        <v>366</v>
      </c>
      <c r="C17" s="70"/>
      <c r="D17" s="70"/>
      <c r="E17" s="71"/>
    </row>
    <row r="18" spans="1:5" x14ac:dyDescent="0.45">
      <c r="A18" s="24" t="s">
        <v>325</v>
      </c>
      <c r="B18" s="24" t="s">
        <v>326</v>
      </c>
      <c r="C18" s="86"/>
      <c r="D18" s="87"/>
      <c r="E18" s="88"/>
    </row>
    <row r="19" spans="1:5" x14ac:dyDescent="0.45">
      <c r="A19" s="110"/>
      <c r="B19" s="110"/>
      <c r="C19" s="113" t="s">
        <v>346</v>
      </c>
      <c r="D19" s="111" t="s">
        <v>346</v>
      </c>
      <c r="E19" s="112" t="s">
        <v>346</v>
      </c>
    </row>
    <row r="20" spans="1:5" x14ac:dyDescent="0.45">
      <c r="A20" s="1" t="s">
        <v>317</v>
      </c>
      <c r="B20" s="1" t="s">
        <v>318</v>
      </c>
      <c r="C20" s="91"/>
      <c r="D20" s="92"/>
      <c r="E20" s="93"/>
    </row>
    <row r="21" spans="1:5" x14ac:dyDescent="0.45">
      <c r="A21" s="1" t="s">
        <v>319</v>
      </c>
      <c r="B21" s="1" t="s">
        <v>320</v>
      </c>
      <c r="C21" s="91"/>
      <c r="D21" s="92"/>
      <c r="E21" s="93"/>
    </row>
    <row r="22" spans="1:5" x14ac:dyDescent="0.45">
      <c r="A22" s="110"/>
      <c r="B22" s="110"/>
      <c r="C22" s="113" t="s">
        <v>346</v>
      </c>
      <c r="D22" s="111" t="s">
        <v>346</v>
      </c>
      <c r="E22" s="112" t="s">
        <v>346</v>
      </c>
    </row>
    <row r="23" spans="1:5" x14ac:dyDescent="0.45">
      <c r="A23" s="1" t="s">
        <v>321</v>
      </c>
      <c r="B23" s="1" t="s">
        <v>322</v>
      </c>
      <c r="C23" s="91"/>
      <c r="D23" s="92"/>
      <c r="E23" s="93"/>
    </row>
    <row r="24" spans="1:5" ht="14.65" thickBot="1" x14ac:dyDescent="0.5">
      <c r="A24" s="35" t="s">
        <v>323</v>
      </c>
      <c r="B24" s="35" t="s">
        <v>324</v>
      </c>
      <c r="C24" s="95"/>
      <c r="D24" s="96"/>
      <c r="E24" s="97"/>
    </row>
  </sheetData>
  <mergeCells count="4">
    <mergeCell ref="A1:E1"/>
    <mergeCell ref="D6:E6"/>
    <mergeCell ref="D7:E7"/>
    <mergeCell ref="D8:E8"/>
  </mergeCells>
  <pageMargins left="0.7" right="0.7" top="0.78740157499999996" bottom="0.78740157499999996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4CFBC98094164EA3F88B4E7934C009" ma:contentTypeVersion="18" ma:contentTypeDescription="Create a new document." ma:contentTypeScope="" ma:versionID="0c4ee68a88d3c3c81e7f20eaafe8ff71">
  <xsd:schema xmlns:xsd="http://www.w3.org/2001/XMLSchema" xmlns:xs="http://www.w3.org/2001/XMLSchema" xmlns:p="http://schemas.microsoft.com/office/2006/metadata/properties" xmlns:ns2="399b0d9a-3e0c-451f-81ae-c4f91c5e495a" xmlns:ns3="a940f2fd-b06c-4cf4-865d-42ce93acfe2b" targetNamespace="http://schemas.microsoft.com/office/2006/metadata/properties" ma:root="true" ma:fieldsID="eae75ac69b69aeb258cc8c7e671572ec" ns2:_="" ns3:_="">
    <xsd:import namespace="399b0d9a-3e0c-451f-81ae-c4f91c5e495a"/>
    <xsd:import namespace="a940f2fd-b06c-4cf4-865d-42ce93acfe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b0d9a-3e0c-451f-81ae-c4f91c5e49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46abb53-1aa1-451a-9916-c40f33480c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0f2fd-b06c-4cf4-865d-42ce93acfe2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abe25c1-4d5e-4371-8a07-3bf021a1de22}" ma:internalName="TaxCatchAll" ma:showField="CatchAllData" ma:web="a940f2fd-b06c-4cf4-865d-42ce93acfe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40f2fd-b06c-4cf4-865d-42ce93acfe2b" xsi:nil="true"/>
    <lcf76f155ced4ddcb4097134ff3c332f xmlns="399b0d9a-3e0c-451f-81ae-c4f91c5e495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2D600A-C54A-4899-9A1F-F513696864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9b0d9a-3e0c-451f-81ae-c4f91c5e495a"/>
    <ds:schemaRef ds:uri="a940f2fd-b06c-4cf4-865d-42ce93acfe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64A0FE-B55D-49B0-95C0-538884B1F423}">
  <ds:schemaRefs>
    <ds:schemaRef ds:uri="http://schemas.microsoft.com/office/2006/metadata/properties"/>
    <ds:schemaRef ds:uri="http://schemas.microsoft.com/office/infopath/2007/PartnerControls"/>
    <ds:schemaRef ds:uri="a940f2fd-b06c-4cf4-865d-42ce93acfe2b"/>
    <ds:schemaRef ds:uri="399b0d9a-3e0c-451f-81ae-c4f91c5e495a"/>
  </ds:schemaRefs>
</ds:datastoreItem>
</file>

<file path=customXml/itemProps3.xml><?xml version="1.0" encoding="utf-8"?>
<ds:datastoreItem xmlns:ds="http://schemas.openxmlformats.org/officeDocument/2006/customXml" ds:itemID="{4DF57C2D-A72A-461D-ACD6-4E99649F44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Montage</vt:lpstr>
      <vt:lpstr>Zusatz</vt:lpstr>
      <vt:lpstr>Maschine</vt:lpstr>
      <vt:lpstr>HM</vt:lpstr>
      <vt:lpstr>Reinigungsmittel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 Verena</dc:creator>
  <cp:lastModifiedBy>Karel Baloun</cp:lastModifiedBy>
  <cp:lastPrinted>2026-02-16T21:58:39Z</cp:lastPrinted>
  <dcterms:created xsi:type="dcterms:W3CDTF">2026-01-29T09:37:20Z</dcterms:created>
  <dcterms:modified xsi:type="dcterms:W3CDTF">2026-07-25T10:37:35Z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0x010100CC4CFBC98094164EA3F88B4E7934C009</vt:lpwstr>
  </property>
</Properties>
</file>